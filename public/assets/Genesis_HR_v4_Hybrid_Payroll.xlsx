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ME" sheetId="1" state="visible" r:id="rId3"/>
    <sheet name="GUIDE" sheetId="2" state="visible" r:id="rId4"/>
    <sheet name="DASH Dashboard" sheetId="3" state="visible" r:id="rId5"/>
    <sheet name="EMP Employees" sheetId="4" state="visible" r:id="rId6"/>
    <sheet name="PAY Payroll" sheetId="5" state="visible" r:id="rId7"/>
    <sheet name="SLP Payslip" sheetId="6" state="visible" r:id="rId8"/>
    <sheet name="LVE Leave" sheetId="7" state="visible" r:id="rId9"/>
    <sheet name="ABS Absence Log" sheetId="8" state="visible" r:id="rId10"/>
    <sheet name="REC Recruitment" sheetId="9" state="visible" r:id="rId11"/>
    <sheet name="HIST Monthly History" sheetId="10" state="visible" r:id="rId12"/>
    <sheet name="AUDIT LOG" sheetId="11" state="visible" r:id="rId13"/>
    <sheet name="SET Settings" sheetId="12" state="visible" r:id="rId14"/>
  </sheets>
  <definedNames>
    <definedName function="false" hidden="false" name="ContractTypes" vbProcedure="false">'SET Settings'!$C$28:$C$33</definedName>
    <definedName function="false" hidden="false" name="Departments" vbProcedure="false">'SET Settings'!$A$28:$A$36</definedName>
    <definedName function="false" hidden="false" name="EmpStatuses" vbProcedure="false">'SET Settings'!$F$28:$F$32</definedName>
    <definedName function="false" hidden="false" name="Genders" vbProcedure="false">'SET Settings'!$E$28:$E$31</definedName>
    <definedName function="false" hidden="false" name="JobTitles" vbProcedure="false">'SET Settings'!$B$28:$B$55</definedName>
    <definedName function="false" hidden="false" name="LeaveTypes" vbProcedure="false">'SET Settings'!$D$28:$D$35</definedName>
    <definedName function="false" hidden="false" name="PayTypes" vbProcedure="false">'SET Settings'!$G$28:$G$29</definedName>
    <definedName function="false" hidden="false" name="TAX_BANDS" vbProcedure="false">'SET Settings'!$A$6:$A$12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<sst xmlns="http://schemas.openxmlformats.org/spreadsheetml/2006/main" count="453" uniqueCount="385">
  <si>
    <t xml:space="preserve">GENESIS HR MANAGEMENT SYSTEM</t>
  </si>
  <si>
    <t xml:space="preserve">Namibia · NamRA Compliant · Financial Year 2024/2025</t>
  </si>
  <si>
    <t xml:space="preserve">Dashboard</t>
  </si>
  <si>
    <t xml:space="preserve">Employees</t>
  </si>
  <si>
    <t xml:space="preserve">Payroll Engine</t>
  </si>
  <si>
    <t xml:space="preserve">Executive KPIs, headcount &amp; payroll overview</t>
  </si>
  <si>
    <t xml:space="preserve">Master database — all staff records, bank details, contracts &amp; rates</t>
  </si>
  <si>
    <t xml:space="preserve">NamRA-compliant payroll: hourly, overtime, night, holiday &amp; monthly pay</t>
  </si>
  <si>
    <t xml:space="preserve">Payslip</t>
  </si>
  <si>
    <t xml:space="preserve">Leave Tracker</t>
  </si>
  <si>
    <t xml:space="preserve">Absence Log</t>
  </si>
  <si>
    <t xml:space="preserve">Individual payslip generator with PDF export</t>
  </si>
  <si>
    <t xml:space="preserve">Annual leave earned, taken &amp; remaining balances</t>
  </si>
  <si>
    <t xml:space="preserve">Approved absence records by type &amp; date</t>
  </si>
  <si>
    <t xml:space="preserve">Recruitment</t>
  </si>
  <si>
    <t xml:space="preserve">Settings</t>
  </si>
  <si>
    <t xml:space="preserve">Audit Log</t>
  </si>
  <si>
    <t xml:space="preserve">Pipeline: candidates, scores &amp; conversion metrics</t>
  </si>
  <si>
    <t xml:space="preserve">PAYE brackets, SSC rates &amp; lookup lists</t>
  </si>
  <si>
    <t xml:space="preserve">Change history: who changed what &amp; when</t>
  </si>
  <si>
    <t xml:space="preserve">Monthly History</t>
  </si>
  <si>
    <t xml:space="preserve">12-month payroll history per employee</t>
  </si>
  <si>
    <t xml:space="preserve">COLOUR LEGEND   |   Blue cells = Input (editable)   |   Black cells = Formula (protected)</t>
  </si>
  <si>
    <t xml:space="preserve">Genesis HR System  v4.0  |  Revised: June 2026  |  Author: HR Administrator  |  NamRA Compliant</t>
  </si>
  <si>
    <t xml:space="preserve">GENESIS HR · QUICK GUIDE</t>
  </si>
  <si>
    <t xml:space="preserve">COLOUR LEGEND</t>
  </si>
  <si>
    <t xml:space="preserve">Blue cells</t>
  </si>
  <si>
    <t xml:space="preserve">You type here — editable input fields</t>
  </si>
  <si>
    <t xml:space="preserve">Grey cells</t>
  </si>
  <si>
    <t xml:space="preserve">Automatic formulas — protected, do not edit</t>
  </si>
  <si>
    <t xml:space="preserve">Red highlight</t>
  </si>
  <si>
    <t xml:space="preserve">Warning: hourly rate below legal minimum (N$18/hr)</t>
  </si>
  <si>
    <t xml:space="preserve">Amber highlight</t>
  </si>
  <si>
    <t xml:space="preserve">Warning: overtime exceeds legal limit (10h/week)</t>
  </si>
  <si>
    <t xml:space="preserve">HOW TO ADD AN EMPLOYEE</t>
  </si>
  <si>
    <t xml:space="preserve">1</t>
  </si>
  <si>
    <t xml:space="preserve">Go to EMP Employees sheet</t>
  </si>
  <si>
    <t xml:space="preserve">2</t>
  </si>
  <si>
    <t xml:space="preserve">Fill blue cells left to right. Emp ID format: UN01, UN02...</t>
  </si>
  <si>
    <t xml:space="preserve">3</t>
  </si>
  <si>
    <t xml:space="preserve">Choose Pay Type: Hourly or Monthly (dropdown)</t>
  </si>
  <si>
    <t xml:space="preserve">4</t>
  </si>
  <si>
    <t xml:space="preserve">Hourly staff → fill Hourly Rate. Monthly staff → fill Basic Monthly Salary</t>
  </si>
  <si>
    <t xml:space="preserve">5</t>
  </si>
  <si>
    <t xml:space="preserve">Age calculates automatically from Date of Birth</t>
  </si>
  <si>
    <t xml:space="preserve">HOW TO RUN PAYROLL</t>
  </si>
  <si>
    <t xml:space="preserve">Go to PAY Payroll sheet</t>
  </si>
  <si>
    <t xml:space="preserve">Pick Emp ID (dropdown) — Name, Pay Type, Rate auto-fill</t>
  </si>
  <si>
    <t xml:space="preserve">Enter hours worked: Normal, Overtime, Night, Holiday, Sunday</t>
  </si>
  <si>
    <t xml:space="preserve">All salaries, PAYE, SSC and Net Pay calculate automatically</t>
  </si>
  <si>
    <t xml:space="preserve">Rates follow Labour Act 2007: OT 1.5x, Night +6%, Sunday 2x</t>
  </si>
  <si>
    <t xml:space="preserve">HOW TO GENERATE A PAYSLIP</t>
  </si>
  <si>
    <t xml:space="preserve">Go to SLP Payslip sheet</t>
  </si>
  <si>
    <t xml:space="preserve">Select Employee ID in cell D1 (dropdown)</t>
  </si>
  <si>
    <t xml:space="preserve">Payslip fills automatically. Print or export to PDF</t>
  </si>
  <si>
    <t xml:space="preserve">LEGAL RATES (Labour Act 2007 — editable in SET Settings)</t>
  </si>
  <si>
    <t xml:space="preserve">Normal Overtime</t>
  </si>
  <si>
    <t xml:space="preserve">1.5 × base rate (Sec. 29)</t>
  </si>
  <si>
    <t xml:space="preserve">Night Hours (20:00–07:00)</t>
  </si>
  <si>
    <t xml:space="preserve">base rate + 6% (Sec. 32)</t>
  </si>
  <si>
    <t xml:space="preserve">Sunday / Public Holiday</t>
  </si>
  <si>
    <t xml:space="preserve">2.0 × base rate (Sec. 33)</t>
  </si>
  <si>
    <t xml:space="preserve">Minimum Wage 2026</t>
  </si>
  <si>
    <t xml:space="preserve">N$18.00 per hour</t>
  </si>
  <si>
    <t xml:space="preserve">SSC</t>
  </si>
  <si>
    <t xml:space="preserve">0.9% of pay, capped at N$81/month</t>
  </si>
  <si>
    <t xml:space="preserve">PAYE</t>
  </si>
  <si>
    <t xml:space="preserve">NamRA tax bands — auto-calculated from gross</t>
  </si>
  <si>
    <t xml:space="preserve">GENESIS HR · EXECUTIVE DASHBOARD</t>
  </si>
  <si>
    <t xml:space="preserve">TOTAL HEADCOUNT</t>
  </si>
  <si>
    <t xml:space="preserve">MONTHLY PAYROLL (N$)</t>
  </si>
  <si>
    <t xml:space="preserve">GENDER RATIO (Female)</t>
  </si>
  <si>
    <t xml:space="preserve">AVG TENURE (YRS)</t>
  </si>
  <si>
    <t xml:space="preserve">CONTRACTS EXPIRING IN THE NEXT 30 DAYS</t>
  </si>
  <si>
    <t xml:space="preserve">Emp ID</t>
  </si>
  <si>
    <t xml:space="preserve">Name</t>
  </si>
  <si>
    <t xml:space="preserve">Department</t>
  </si>
  <si>
    <t xml:space="preserve">Position</t>
  </si>
  <si>
    <t xml:space="preserve">Contract End Date</t>
  </si>
  <si>
    <t xml:space="preserve">Days Remaining</t>
  </si>
  <si>
    <t xml:space="preserve">Executive</t>
  </si>
  <si>
    <t xml:space="preserve">Human Resources</t>
  </si>
  <si>
    <t xml:space="preserve">N$35-60k</t>
  </si>
  <si>
    <t xml:space="preserve">Operations</t>
  </si>
  <si>
    <t xml:space="preserve">&gt;N$60k</t>
  </si>
  <si>
    <t xml:space="preserve">Sales &amp; Marketing</t>
  </si>
  <si>
    <t xml:space="preserve">Information Technology</t>
  </si>
  <si>
    <t xml:space="preserve">Legal &amp; Compliance</t>
  </si>
  <si>
    <t xml:space="preserve">GENESIS HR · EMPLOYEE MASTER DATABASE</t>
  </si>
  <si>
    <t xml:space="preserve">Full Name</t>
  </si>
  <si>
    <t xml:space="preserve">ID Number</t>
  </si>
  <si>
    <t xml:space="preserve">Date of Birth</t>
  </si>
  <si>
    <t xml:space="preserve">Gender</t>
  </si>
  <si>
    <t xml:space="preserve">NINO / SSC No.</t>
  </si>
  <si>
    <t xml:space="preserve">Tax ID (Taxpayer)</t>
  </si>
  <si>
    <t xml:space="preserve">Cell Number</t>
  </si>
  <si>
    <t xml:space="preserve">Email Address</t>
  </si>
  <si>
    <t xml:space="preserve">Bank &amp; Account No.</t>
  </si>
  <si>
    <t xml:space="preserve">Branch Code</t>
  </si>
  <si>
    <t xml:space="preserve">Date of Hire</t>
  </si>
  <si>
    <t xml:space="preserve">Position / Title</t>
  </si>
  <si>
    <t xml:space="preserve">Manager</t>
  </si>
  <si>
    <t xml:space="preserve">Contract Type</t>
  </si>
  <si>
    <t xml:space="preserve">Pay Type</t>
  </si>
  <si>
    <t xml:space="preserve">Hourly Rate (N$)</t>
  </si>
  <si>
    <t xml:space="preserve">Basic Monthly Salary (N$)</t>
  </si>
  <si>
    <t xml:space="preserve">Status</t>
  </si>
  <si>
    <t xml:space="preserve">Age</t>
  </si>
  <si>
    <t xml:space="preserve">Blue cells = editable inputs  |  Dropdowns: Gender, Department, Contract Type, Pay Type, Status  |  Hourly Rate for hourly employees; Basic Salary for monthly employees</t>
  </si>
  <si>
    <t xml:space="preserve">GENESIS HR · PAYROLL ENGINE — NAMIBIA COMPLIANT (NamRA) — Labour Act 2007</t>
  </si>
  <si>
    <t xml:space="preserve">EMPLOYEE</t>
  </si>
  <si>
    <t xml:space="preserve">HOURS WORKED (INPUTS)</t>
  </si>
  <si>
    <t xml:space="preserve">EARNINGS</t>
  </si>
  <si>
    <t xml:space="preserve">GROSS</t>
  </si>
  <si>
    <t xml:space="preserve">DEDUCTIONS</t>
  </si>
  <si>
    <t xml:space="preserve">TOTAL</t>
  </si>
  <si>
    <t xml:space="preserve">NET PAY</t>
  </si>
  <si>
    <t xml:space="preserve">YEAR-TO-DATE</t>
  </si>
  <si>
    <t xml:space="preserve">Hourly Rate</t>
  </si>
  <si>
    <t xml:space="preserve">Normal Hours</t>
  </si>
  <si>
    <t xml:space="preserve">Night Hours
@ 6%</t>
  </si>
  <si>
    <t xml:space="preserve">Night Hours
Overtime</t>
  </si>
  <si>
    <t xml:space="preserve">P.Holiday
@ Normal</t>
  </si>
  <si>
    <t xml:space="preserve">Sunday/P.Hol
@ Double</t>
  </si>
  <si>
    <t xml:space="preserve">Leave Days</t>
  </si>
  <si>
    <t xml:space="preserve">Basic Salary
(Monthly)</t>
  </si>
  <si>
    <t xml:space="preserve">Normal Hour
Salary</t>
  </si>
  <si>
    <t xml:space="preserve">Normal OT
Salary</t>
  </si>
  <si>
    <t xml:space="preserve">Night Hours
Salary</t>
  </si>
  <si>
    <t xml:space="preserve">Night OT
Salary</t>
  </si>
  <si>
    <t xml:space="preserve">P.Holiday
Normal Sal</t>
  </si>
  <si>
    <t xml:space="preserve">P.Holiday
Double Sal</t>
  </si>
  <si>
    <t xml:space="preserve">Allowance</t>
  </si>
  <si>
    <t xml:space="preserve">Bonus</t>
  </si>
  <si>
    <t xml:space="preserve">Gross Salary</t>
  </si>
  <si>
    <t xml:space="preserve">PAYE (Tax)</t>
  </si>
  <si>
    <t xml:space="preserve">SSC Employee</t>
  </si>
  <si>
    <t xml:space="preserve">Pension
Deduct.</t>
  </si>
  <si>
    <t xml:space="preserve">Medical
Aid</t>
  </si>
  <si>
    <t xml:space="preserve">Other
Deductions</t>
  </si>
  <si>
    <t xml:space="preserve">Employee
Savings</t>
  </si>
  <si>
    <t xml:space="preserve">Total
Deductions</t>
  </si>
  <si>
    <t xml:space="preserve">Net Pay</t>
  </si>
  <si>
    <t xml:space="preserve">YTD Gross</t>
  </si>
  <si>
    <t xml:space="preserve">YTD Tax</t>
  </si>
  <si>
    <t xml:space="preserve">Designation</t>
  </si>
  <si>
    <t xml:space="preserve">TOTALS</t>
  </si>
  <si>
    <t xml:space="preserve">Blue cells (Emp ID, Hours E-K, Allowance, Bonus, Pension, Medical, Other Ded, Savings) = Input — editable  |  All other cells = Protected formulas  |  Rates from Labour Act 2007</t>
  </si>
  <si>
    <t xml:space="preserve">Select Employee ID:</t>
  </si>
  <si>
    <t xml:space="preserve">Period:</t>
  </si>
  <si>
    <t xml:space="preserve">GENESIS (PTY) LTD</t>
  </si>
  <si>
    <t xml:space="preserve">123 Independence Avenue, Windhoek, Namibia | Tel: +264 61 000 000 | VAT: N12345678</t>
  </si>
  <si>
    <t xml:space="preserve">PAYSLIP</t>
  </si>
  <si>
    <t xml:space="preserve">EMPLOYEE DETAILS</t>
  </si>
  <si>
    <t xml:space="preserve">Employee ID:</t>
  </si>
  <si>
    <t xml:space="preserve">Pay Type:</t>
  </si>
  <si>
    <t xml:space="preserve">Name:</t>
  </si>
  <si>
    <t xml:space="preserve">Hourly Rate:</t>
  </si>
  <si>
    <t xml:space="preserve">ID Number:</t>
  </si>
  <si>
    <t xml:space="preserve">Department:</t>
  </si>
  <si>
    <t xml:space="preserve">SSC No.:</t>
  </si>
  <si>
    <t xml:space="preserve">Position:</t>
  </si>
  <si>
    <t xml:space="preserve">Tax ID:</t>
  </si>
  <si>
    <t xml:space="preserve">Contract Type:</t>
  </si>
  <si>
    <t xml:space="preserve">Date of Hire:</t>
  </si>
  <si>
    <t xml:space="preserve">Status:</t>
  </si>
  <si>
    <t xml:space="preserve">Basic Salary</t>
  </si>
  <si>
    <t xml:space="preserve">PAYE (Income Tax)</t>
  </si>
  <si>
    <t xml:space="preserve">Normal Hour Salary</t>
  </si>
  <si>
    <t xml:space="preserve">SSC Contribution</t>
  </si>
  <si>
    <t xml:space="preserve">Normal Overtime Salary</t>
  </si>
  <si>
    <t xml:space="preserve">Pension Fund</t>
  </si>
  <si>
    <t xml:space="preserve">Night Hours @ 6% Salary</t>
  </si>
  <si>
    <t xml:space="preserve">Medical Aid</t>
  </si>
  <si>
    <t xml:space="preserve">Night Hours OT Salary</t>
  </si>
  <si>
    <t xml:space="preserve">Other Deductions</t>
  </si>
  <si>
    <t xml:space="preserve">P.Holiday @ Normal Salary</t>
  </si>
  <si>
    <t xml:space="preserve">Employee Savings</t>
  </si>
  <si>
    <t xml:space="preserve">P.Holiday/Sun @ Double Sal</t>
  </si>
  <si>
    <t xml:space="preserve">TOTAL DEDUCTIONS</t>
  </si>
  <si>
    <t xml:space="preserve">GROSS SALARY</t>
  </si>
  <si>
    <t xml:space="preserve">YEAR-TO-DATE SUMMARY</t>
  </si>
  <si>
    <t xml:space="preserve">YTD Tax Paid</t>
  </si>
  <si>
    <t xml:space="preserve">HOURS WORKED THIS PERIOD</t>
  </si>
  <si>
    <t xml:space="preserve">Night Hours @ 6%</t>
  </si>
  <si>
    <t xml:space="preserve">Night Hours OT</t>
  </si>
  <si>
    <t xml:space="preserve">P.Holiday @ Normal</t>
  </si>
  <si>
    <t xml:space="preserve">Sunday/P.Holiday @ Double</t>
  </si>
  <si>
    <t xml:space="preserve">This payslip is system-generated and does not require a signature. | Genesis HR System | NamRA Compliant</t>
  </si>
  <si>
    <t xml:space="preserve">GENESIS HR · LEAVE &amp; ATTENDANCE TRACKER</t>
  </si>
  <si>
    <t xml:space="preserve">Days Worked</t>
  </si>
  <si>
    <t xml:space="preserve">Leave Earned</t>
  </si>
  <si>
    <t xml:space="preserve">Leave Taken</t>
  </si>
  <si>
    <t xml:space="preserve">Balance</t>
  </si>
  <si>
    <t xml:space="preserve">Sick Days Used</t>
  </si>
  <si>
    <t xml:space="preserve">Maternity/Paternity</t>
  </si>
  <si>
    <t xml:space="preserve">Contract End</t>
  </si>
  <si>
    <t xml:space="preserve">Leave at Exit</t>
  </si>
  <si>
    <t xml:space="preserve">Leave Earned uses contract-type logic (Labour Act Cap 11:11)  |  Col F (Taken) = editable</t>
  </si>
  <si>
    <t xml:space="preserve">GENESIS HR · ABSENCE &amp; LEAVE LOG</t>
  </si>
  <si>
    <t xml:space="preserve">Employee Name</t>
  </si>
  <si>
    <t xml:space="preserve">Leave Type</t>
  </si>
  <si>
    <t xml:space="preserve">Days</t>
  </si>
  <si>
    <t xml:space="preserve">Start Date</t>
  </si>
  <si>
    <t xml:space="preserve">End Date</t>
  </si>
  <si>
    <t xml:space="preserve">Approved By</t>
  </si>
  <si>
    <t xml:space="preserve">Notes</t>
  </si>
  <si>
    <t xml:space="preserve">GENESIS HR · RECRUITMENT PIPELINE</t>
  </si>
  <si>
    <t xml:space="preserve">Ref No.</t>
  </si>
  <si>
    <t xml:space="preserve">Candidate Name</t>
  </si>
  <si>
    <t xml:space="preserve">Position Applied</t>
  </si>
  <si>
    <t xml:space="preserve">Source</t>
  </si>
  <si>
    <t xml:space="preserve">Date Applied</t>
  </si>
  <si>
    <t xml:space="preserve">Interview Score (1-5)</t>
  </si>
  <si>
    <t xml:space="preserve">Interviewer</t>
  </si>
  <si>
    <t xml:space="preserve">Decision Date</t>
  </si>
  <si>
    <t xml:space="preserve">Days in Pipeline</t>
  </si>
  <si>
    <t xml:space="preserve">Source Channel</t>
  </si>
  <si>
    <t xml:space="preserve">RECRUITMENT METRICS · Key Performance Indicators</t>
  </si>
  <si>
    <t xml:space="preserve">Applied</t>
  </si>
  <si>
    <t xml:space="preserve">In Progress</t>
  </si>
  <si>
    <t xml:space="preserve">Hired</t>
  </si>
  <si>
    <t xml:space="preserve">Rejected</t>
  </si>
  <si>
    <t xml:space="preserve">Avg Score</t>
  </si>
  <si>
    <t xml:space="preserve">Avg Days</t>
  </si>
  <si>
    <t xml:space="preserve">Hire Rate</t>
  </si>
  <si>
    <t xml:space="preserve">Total</t>
  </si>
  <si>
    <t xml:space="preserve">Share %</t>
  </si>
  <si>
    <t xml:space="preserve">LinkedIn</t>
  </si>
  <si>
    <t xml:space="preserve">Referral</t>
  </si>
  <si>
    <t xml:space="preserve">Indeed</t>
  </si>
  <si>
    <t xml:space="preserve">Company Website</t>
  </si>
  <si>
    <t xml:space="preserve">Agency</t>
  </si>
  <si>
    <t xml:space="preserve">Job Board</t>
  </si>
  <si>
    <t xml:space="preserve">GENESIS HR · MONTHLY PAYROLL HISTORY — Financial Year 2024/2025</t>
  </si>
  <si>
    <t xml:space="preserve">YTD Gross in Payroll sheet now references this table — update monthly gross here for accurate year-to-date totals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</si>
  <si>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</si>
  <si>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</si>
  <si>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</si>
  <si>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</si>
  <si>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</si>
  <si>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</si>
  <si>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</si>
  <si>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</si>
  <si>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</si>
  <si>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</si>
  <si>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</si>
  <si>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</si>
  <si>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Blue (current month) = editable | ⬛ Past months = locked | Grey = future months | YTD = sum of all completed months</t>
  </si>
  <si>
    <t xml:space="preserve">GENESIS HR · AUDIT LOG — Change History Register</t>
  </si>
  <si>
    <t xml:space="preserve">Record every salary or data change here. Required for NamRA audits and Labour Commissioner reviews.</t>
  </si>
  <si>
    <t xml:space="preserve">Date</t>
  </si>
  <si>
    <t xml:space="preserve">Changed By</t>
  </si>
  <si>
    <t xml:space="preserve">Sheet / Module</t>
  </si>
  <si>
    <t xml:space="preserve">Field Changed</t>
  </si>
  <si>
    <t xml:space="preserve">Previous Value</t>
  </si>
  <si>
    <t xml:space="preserve">New Value</t>
  </si>
  <si>
    <t xml:space="preserve">Notes / Reason</t>
  </si>
  <si>
    <t xml:space="preserve">GENESIS HR · SETTINGS &amp; GLOBAL PARAMETERS</t>
  </si>
  <si>
    <t xml:space="preserve">Namibia | NamRA Compliant | Financial Year 2024/2025</t>
  </si>
  <si>
    <t xml:space="preserve">PAYE TAX BRACKETS — NamRA (Annual Income Bands)</t>
  </si>
  <si>
    <t xml:space="preserve">Annual Income From (N$)</t>
  </si>
  <si>
    <t xml:space="preserve">Annual Income To (N$)</t>
  </si>
  <si>
    <t xml:space="preserve">Rate (%)</t>
  </si>
  <si>
    <t xml:space="preserve">Fixed Amount (N$)</t>
  </si>
  <si>
    <t xml:space="preserve">Band Description</t>
  </si>
  <si>
    <t xml:space="preserve">Tax-Free Threshold</t>
  </si>
  <si>
    <t xml:space="preserve">18% on amount over N$50,000</t>
  </si>
  <si>
    <t xml:space="preserve">25% on amount over N$100,000</t>
  </si>
  <si>
    <t xml:space="preserve">28% on amount over N$300,000</t>
  </si>
  <si>
    <t xml:space="preserve">30% on amount over N$500,000</t>
  </si>
  <si>
    <t xml:space="preserve">32% on amount over N$800,000</t>
  </si>
  <si>
    <t xml:space="preserve">37% on amount over N$1,500,000</t>
  </si>
  <si>
    <t xml:space="preserve">SOCIAL SECURITY (SSC) — Namibia Social Security Commission</t>
  </si>
  <si>
    <t xml:space="preserve">Parameter</t>
  </si>
  <si>
    <t xml:space="preserve">Value</t>
  </si>
  <si>
    <t xml:space="preserve">Format</t>
  </si>
  <si>
    <t xml:space="preserve">Employee Contribution Rate</t>
  </si>
  <si>
    <t xml:space="preserve">0.0%</t>
  </si>
  <si>
    <t xml:space="preserve">0.9% of Basic Salary</t>
  </si>
  <si>
    <t xml:space="preserve">Employer Contribution Rate</t>
  </si>
  <si>
    <t xml:space="preserve">Monthly Ceiling (Employee)</t>
  </si>
  <si>
    <t xml:space="preserve">"N$"#,##0.00</t>
  </si>
  <si>
    <t xml:space="preserve">Maximum employee deduction</t>
  </si>
  <si>
    <t xml:space="preserve">Monthly Ceiling (Employer)</t>
  </si>
  <si>
    <t xml:space="preserve">Maximum employer contribution</t>
  </si>
  <si>
    <t xml:space="preserve">Calculation Base</t>
  </si>
  <si>
    <t xml:space="preserve">@</t>
  </si>
  <si>
    <t xml:space="preserve">SSC applies to basic salary only</t>
  </si>
  <si>
    <t xml:space="preserve">VET LEVY — Vocational Education &amp; Training</t>
  </si>
  <si>
    <t xml:space="preserve">VET Levy Enabled</t>
  </si>
  <si>
    <t xml:space="preserve">YES</t>
  </si>
  <si>
    <t xml:space="preserve">1% of Payroll if annual payroll &gt; N$1,000,000</t>
  </si>
  <si>
    <t xml:space="preserve">VET Levy Rate</t>
  </si>
  <si>
    <t xml:space="preserve">Annual Payroll Threshold</t>
  </si>
  <si>
    <t xml:space="preserve">LOOKUP LISTS — Named Ranges for Validation</t>
  </si>
  <si>
    <t xml:space="preserve">Departments</t>
  </si>
  <si>
    <t xml:space="preserve">Job Titles</t>
  </si>
  <si>
    <t xml:space="preserve">Contract Types</t>
  </si>
  <si>
    <t xml:space="preserve">Leave Types</t>
  </si>
  <si>
    <t xml:space="preserve">Chief Executive Officer</t>
  </si>
  <si>
    <t xml:space="preserve">Permanent</t>
  </si>
  <si>
    <t xml:space="preserve">Annual Leave</t>
  </si>
  <si>
    <t xml:space="preserve">Male</t>
  </si>
  <si>
    <t xml:space="preserve">Active</t>
  </si>
  <si>
    <t xml:space="preserve">Hourly</t>
  </si>
  <si>
    <t xml:space="preserve">Finance</t>
  </si>
  <si>
    <t xml:space="preserve">Chief Financial Officer</t>
  </si>
  <si>
    <t xml:space="preserve">Fixed-Term</t>
  </si>
  <si>
    <t xml:space="preserve">Sick Leave</t>
  </si>
  <si>
    <t xml:space="preserve">Female</t>
  </si>
  <si>
    <t xml:space="preserve">On Leave</t>
  </si>
  <si>
    <t xml:space="preserve">Monthly</t>
  </si>
  <si>
    <t xml:space="preserve">HR Manager</t>
  </si>
  <si>
    <t xml:space="preserve">Freelance</t>
  </si>
  <si>
    <t xml:space="preserve">Maternity Leave</t>
  </si>
  <si>
    <t xml:space="preserve">Non-Binary</t>
  </si>
  <si>
    <t xml:space="preserve">Terminated</t>
  </si>
  <si>
    <t xml:space="preserve">Operations Manager</t>
  </si>
  <si>
    <t xml:space="preserve">Internship</t>
  </si>
  <si>
    <t xml:space="preserve">Paternity Leave</t>
  </si>
  <si>
    <t xml:space="preserve">Prefer Not to Say</t>
  </si>
  <si>
    <t xml:space="preserve">Suspended</t>
  </si>
  <si>
    <t xml:space="preserve">Sales Manager</t>
  </si>
  <si>
    <t xml:space="preserve">Probation</t>
  </si>
  <si>
    <t xml:space="preserve">Study Leave</t>
  </si>
  <si>
    <t xml:space="preserve">Resigned</t>
  </si>
  <si>
    <t xml:space="preserve">IT Manager</t>
  </si>
  <si>
    <t xml:space="preserve">Casual</t>
  </si>
  <si>
    <t xml:space="preserve">Unpaid Leave</t>
  </si>
  <si>
    <t xml:space="preserve">Software Developer</t>
  </si>
  <si>
    <t xml:space="preserve">Compassionate Leave</t>
  </si>
  <si>
    <t xml:space="preserve">Logistics</t>
  </si>
  <si>
    <t xml:space="preserve">Accountant</t>
  </si>
  <si>
    <t xml:space="preserve">Public Holiday</t>
  </si>
  <si>
    <t xml:space="preserve">Customer Service</t>
  </si>
  <si>
    <t xml:space="preserve">HR Officer</t>
  </si>
  <si>
    <t xml:space="preserve">Admin Officer</t>
  </si>
  <si>
    <t xml:space="preserve">Driver</t>
  </si>
  <si>
    <t xml:space="preserve">Receptionist</t>
  </si>
  <si>
    <t xml:space="preserve">Legal Counsel</t>
  </si>
  <si>
    <t xml:space="preserve">Payroll Officer</t>
  </si>
  <si>
    <t xml:space="preserve">General Worker</t>
  </si>
  <si>
    <t xml:space="preserve">Operator</t>
  </si>
  <si>
    <t xml:space="preserve">LABOUR ACT RATE MULTIPLIERS — Sections 29, 32, 33</t>
  </si>
  <si>
    <t xml:space="preserve">Rate Type</t>
  </si>
  <si>
    <t xml:space="preserve">Multiplier</t>
  </si>
  <si>
    <t xml:space="preserve">Legal Basis</t>
  </si>
  <si>
    <t xml:space="preserve">Description</t>
  </si>
  <si>
    <t xml:space="preserve">Sec. 26-28</t>
  </si>
  <si>
    <t xml:space="preserve">Base hourly rate</t>
  </si>
  <si>
    <t xml:space="preserve">Sec. 29</t>
  </si>
  <si>
    <t xml:space="preserve">150% of base rate (weekday OT)</t>
  </si>
  <si>
    <t xml:space="preserve">Night Shift Surcharge</t>
  </si>
  <si>
    <t xml:space="preserve">Sec. 32</t>
  </si>
  <si>
    <t xml:space="preserve">+6% on base rate (20:00–07:00)</t>
  </si>
  <si>
    <t xml:space="preserve">Night Overtime</t>
  </si>
  <si>
    <t xml:space="preserve">Sec. 29+32</t>
  </si>
  <si>
    <t xml:space="preserve">1.5 × (base + 6%) = 1.5 × 1.06</t>
  </si>
  <si>
    <t xml:space="preserve">Public Holiday (Normal)</t>
  </si>
  <si>
    <t xml:space="preserve">Sec. 33</t>
  </si>
  <si>
    <t xml:space="preserve">Base rate on ordinary work day</t>
  </si>
  <si>
    <t xml:space="preserve">Sunday / P.Holiday (Double)</t>
  </si>
  <si>
    <t xml:space="preserve">200% of base rate</t>
  </si>
  <si>
    <t xml:space="preserve">MINIMUM WAGE — Namibia (2026)</t>
  </si>
  <si>
    <t xml:space="preserve">Unit</t>
  </si>
  <si>
    <t xml:space="preserve">National Minimum Wage</t>
  </si>
  <si>
    <t xml:space="preserve">N$/hour</t>
  </si>
  <si>
    <t xml:space="preserve">Effective 2026 — Ministry of Labour</t>
  </si>
  <si>
    <t xml:space="preserve">Standard Weekly Hours</t>
  </si>
  <si>
    <t xml:space="preserve">hours</t>
  </si>
  <si>
    <t xml:space="preserve">Labour Act Sec. 26</t>
  </si>
  <si>
    <t xml:space="preserve">Max Daily Hours (5-day)</t>
  </si>
  <si>
    <t xml:space="preserve">Labour Act Sec. 27</t>
  </si>
  <si>
    <t xml:space="preserve">Max Daily Hours (6-day)</t>
  </si>
  <si>
    <t xml:space="preserve">Max Weekly Overtime</t>
  </si>
  <si>
    <t xml:space="preserve">Labour Act Sec. 29</t>
  </si>
  <si>
    <t xml:space="preserve">Max Daily Overtime</t>
  </si>
  <si>
    <t xml:space="preserve">Night Work Start</t>
  </si>
  <si>
    <t xml:space="preserve">20:00</t>
  </si>
  <si>
    <t xml:space="preserve">Labour Act Sec. 32</t>
  </si>
  <si>
    <t xml:space="preserve">Night Work End</t>
  </si>
  <si>
    <t xml:space="preserve">07:00</t>
  </si>
  <si>
    <t xml:space="preserve">Working Hours per Month</t>
  </si>
  <si>
    <t xml:space="preserve">45hrs × 52wks ÷ 12 — for monthly→hourly conversion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</si>
</sst>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General"/>
    <numFmt numFmtId="166" formatCode="&quot;N$&quot;#,##0"/>
    <numFmt numFmtId="167" formatCode="0.0%"/>
    <numFmt numFmtId="168" formatCode="0.0"/>
    <numFmt numFmtId="169" formatCode="dd\-mmm\-yyyy"/>
    <numFmt numFmtId="170" formatCode="0"/>
    <numFmt numFmtId="171" formatCode="&quot;N$&quot;#,##0.00"/>
    <numFmt numFmtId="172" formatCode="#,##0"/>
    <numFmt numFmtId="173" formatCode="dd/mm/yyyy"/>
    <numFmt numFmtId="174" formatCode="0%"/>
  </numFmts>
  <fonts count="5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BBDEF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333333"/>
      <name val="Arial"/>
      <family val="0"/>
      <charset val="1"/>
    </font>
    <font>
      <b val="true"/>
      <u val="single"/>
      <sz val="11"/>
      <color rgb="FF1A3A5C"/>
      <name val="Cambria"/>
      <family val="0"/>
      <charset val="1"/>
    </font>
    <font>
      <b val="true"/>
      <sz val="9"/>
      <color rgb="FF0D3B6E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BBDEF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0D3B6E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0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9"/>
      <color rgb="FF2E7D32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FF0000"/>
      <name val="Arial"/>
      <family val="0"/>
      <charset val="1"/>
    </font>
    <font>
      <b val="true"/>
      <sz val="14"/>
      <color rgb="FF1A3A5C"/>
      <name val="Arial"/>
      <family val="0"/>
      <charset val="1"/>
    </font>
    <font>
      <sz val="8"/>
      <color rgb="FF666666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7"/>
      <color rgb="FF999999"/>
      <name val="Arial"/>
      <family val="0"/>
      <charset val="1"/>
    </font>
    <font>
      <sz val="7"/>
      <color rgb="FF999999"/>
      <name val="Arial"/>
      <family val="0"/>
      <charset val="1"/>
    </font>
    <font>
      <sz val="10"/>
      <color rgb="FF333333"/>
      <name val="Arial"/>
      <family val="0"/>
      <charset val="1"/>
    </font>
    <font>
      <i val="true"/>
      <sz val="8"/>
      <color rgb="FF0D3B6E"/>
      <name val="Arial"/>
      <family val="0"/>
      <charset val="1"/>
    </font>
    <font>
      <b val="true"/>
      <sz val="12"/>
      <color rgb="FF0D3B6E"/>
      <name val="Arial"/>
      <family val="0"/>
      <charset val="1"/>
    </font>
    <font>
      <i val="true"/>
      <sz val="9"/>
      <color rgb="FF1B5E20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10"/>
      <color rgb="FF1565C0"/>
      <name val="Arial"/>
      <family val="0"/>
      <charset val="1"/>
    </font>
    <font>
      <sz val="10"/>
      <color rgb="FFBDBDBD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i val="true"/>
      <sz val="9"/>
      <color rgb="FFB71C1C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0"/>
      <color rgb="FF003399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003399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333333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0D3B6E"/>
        <bgColor rgb="FF1A3A5C"/>
      </patternFill>
    </fill>
    <fill>
      <patternFill patternType="solid">
        <fgColor rgb="FF1565C0"/>
        <bgColor rgb="FF0066CC"/>
      </patternFill>
    </fill>
    <fill>
      <patternFill patternType="solid">
        <fgColor rgb="FFE3EEF9"/>
        <bgColor rgb="FFE3F2FD"/>
      </patternFill>
    </fill>
    <fill>
      <patternFill patternType="solid">
        <fgColor rgb="FFFFFFFF"/>
        <bgColor rgb="FFFAFAFA"/>
      </patternFill>
    </fill>
    <fill>
      <patternFill patternType="solid">
        <fgColor rgb="FFFFF8E1"/>
        <bgColor rgb="FFFFF3E0"/>
      </patternFill>
    </fill>
    <fill>
      <patternFill patternType="solid">
        <fgColor rgb="FFF5F5F5"/>
        <bgColor rgb="FFF9F9F9"/>
      </patternFill>
    </fill>
    <fill>
      <patternFill patternType="solid">
        <fgColor rgb="FF1A3A5C"/>
        <bgColor rgb="FF0D3B6E"/>
      </patternFill>
    </fill>
    <fill>
      <patternFill patternType="solid">
        <fgColor rgb="FFB71C1C"/>
        <bgColor rgb="FFC62828"/>
      </patternFill>
    </fill>
    <fill>
      <patternFill patternType="solid">
        <fgColor rgb="FF333333"/>
        <bgColor rgb="FF263238"/>
      </patternFill>
    </fill>
    <fill>
      <patternFill patternType="solid">
        <fgColor rgb="FFFFEBEE"/>
        <bgColor rgb="FFFCE4EC"/>
      </patternFill>
    </fill>
    <fill>
      <patternFill patternType="solid">
        <fgColor rgb="FFE3F2FD"/>
        <bgColor rgb="FFE8F4FD"/>
      </patternFill>
    </fill>
    <fill>
      <patternFill patternType="solid">
        <fgColor rgb="FF00897B"/>
        <bgColor rgb="FF2E7D32"/>
      </patternFill>
    </fill>
    <fill>
      <patternFill patternType="solid">
        <fgColor rgb="FF2E7D32"/>
        <bgColor rgb="FF1B5E20"/>
      </patternFill>
    </fill>
    <fill>
      <patternFill patternType="solid">
        <fgColor rgb="FFE65100"/>
        <bgColor rgb="FFDC3545"/>
      </patternFill>
    </fill>
    <fill>
      <patternFill patternType="solid">
        <fgColor rgb="FF6A1B9A"/>
        <bgColor rgb="FF800080"/>
      </patternFill>
    </fill>
    <fill>
      <patternFill patternType="solid">
        <fgColor rgb="FFFFF3E0"/>
        <bgColor rgb="FFFFF8E1"/>
      </patternFill>
    </fill>
    <fill>
      <patternFill patternType="solid">
        <fgColor rgb="FFE8F5E9"/>
        <bgColor rgb="FFE8F4FD"/>
      </patternFill>
    </fill>
    <fill>
      <patternFill patternType="solid">
        <fgColor rgb="FF263238"/>
        <bgColor rgb="FF333333"/>
      </patternFill>
    </fill>
    <fill>
      <patternFill patternType="solid">
        <fgColor rgb="FFBBDEFB"/>
        <bgColor rgb="FFD9D9D9"/>
      </patternFill>
    </fill>
    <fill>
      <patternFill patternType="solid">
        <fgColor rgb="FFE8F4FD"/>
        <bgColor rgb="FFE3F2FD"/>
      </patternFill>
    </fill>
    <fill>
      <patternFill patternType="solid">
        <fgColor rgb="FF444444"/>
        <bgColor rgb="FF555555"/>
      </patternFill>
    </fill>
    <fill>
      <patternFill patternType="solid">
        <fgColor rgb="FFFFFDE7"/>
        <bgColor rgb="FFFFF8E1"/>
      </patternFill>
    </fill>
    <fill>
      <patternFill patternType="solid">
        <fgColor rgb="FFE0E0E0"/>
        <bgColor rgb="FFDDDDDD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F9A825"/>
      </left>
      <right/>
      <top style="thin">
        <color rgb="FFF9A825"/>
      </top>
      <bottom style="thin">
        <color rgb="FFF9A825"/>
      </bottom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/>
      <top style="thin">
        <color rgb="FFBDBDBD"/>
      </top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/>
      <right/>
      <top/>
      <bottom style="thick">
        <color rgb="FF1565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8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8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8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8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9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9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8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12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9" fontId="13" fillId="12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1" fontId="13" fillId="12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23" fillId="7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1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1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1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9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8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16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6" fillId="12" borderId="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3" fillId="7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7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26" fillId="12" borderId="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26" fillId="12" borderId="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27" fillId="17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7" fillId="18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6" fillId="19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20" borderId="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9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6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2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2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5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5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1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7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38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38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38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8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38" fillId="21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38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8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5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38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3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3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38" fillId="5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3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38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9" fillId="6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8" fillId="21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9" fontId="38" fillId="21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3" fontId="38" fillId="21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4" fillId="2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9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40" fillId="5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0" fillId="5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38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38" fillId="5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8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1" fillId="18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2" fillId="7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38" fillId="7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6" fontId="43" fillId="21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44" fillId="7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5" fillId="18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2" fillId="5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38" fillId="5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44" fillId="5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6" fillId="2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6" fontId="6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9" fillId="6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46" fillId="11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38" fillId="7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3" fontId="38" fillId="5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38" fillId="7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8" fillId="21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8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2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8" fillId="7" borderId="8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7" fontId="48" fillId="7" borderId="8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49" fillId="7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48" fillId="5" borderId="8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7" fontId="48" fillId="5" borderId="8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49" fillId="5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7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5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48" fillId="7" borderId="8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1" fontId="48" fillId="5" borderId="8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48" fillId="7" borderId="8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23" fillId="7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0" fillId="23" borderId="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1" fillId="5" borderId="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3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48" fillId="23" borderId="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3" fillId="5" borderId="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48" fillId="23" borderId="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2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7" borderId="8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3" fillId="5" borderId="8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13" borderId="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1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1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3" fillId="24" borderId="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24" borderId="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3" fillId="2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b val="1"/>
        <color rgb="FFDC3545"/>
      </font>
      <fill>
        <patternFill>
          <bgColor rgb="FFFFE0E0"/>
        </patternFill>
      </fill>
    </dxf>
    <dxf>
      <fill>
        <patternFill>
          <bgColor rgb="FFFCE4EC"/>
        </patternFill>
      </fill>
    </dxf>
    <dxf>
      <fill>
        <patternFill>
          <bgColor rgb="FFFFF9C4"/>
        </patternFill>
      </fill>
    </dxf>
    <dxf>
      <font>
        <b val="1"/>
        <color rgb="FFB71C1C"/>
      </font>
      <fill>
        <patternFill>
          <bgColor rgb="FFFFCDD2"/>
        </patternFill>
      </fill>
    </dxf>
    <dxf>
      <font>
        <name val="Arial"/>
        <charset val="1"/>
        <family val="0"/>
        <b val="1"/>
        <color rgb="FFC62828"/>
        <sz val="10"/>
      </font>
      <fill>
        <patternFill>
          <bgColor rgb="FFFFCDD2"/>
        </patternFill>
      </fill>
    </dxf>
    <dxf>
      <fill>
        <patternFill>
          <bgColor rgb="FFFAFAFA"/>
        </patternFill>
      </fill>
    </dxf>
    <dxf>
      <font>
        <name val="Arial"/>
        <charset val="1"/>
        <family val="0"/>
        <b val="1"/>
        <color rgb="FF795548"/>
        <sz val="10"/>
      </font>
      <fill>
        <patternFill>
          <bgColor rgb="FFFFF9C4"/>
        </patternFill>
      </fill>
    </dxf>
    <dxf>
      <fill>
        <patternFill>
          <bgColor rgb="FFFFE0E0"/>
        </patternFill>
      </fill>
    </dxf>
  </dxfs>
  <colors>
    <indexedColors>
      <rgbColor rgb="FF000000"/>
      <rgbColor rgb="FFFFFFFF"/>
      <rgbColor rgb="FFFF0000"/>
      <rgbColor rgb="FFF9F9F9"/>
      <rgbColor rgb="FF0000FF"/>
      <rgbColor rgb="FFFFF3E0"/>
      <rgbColor rgb="FFFFEBEE"/>
      <rgbColor rgb="FFE3EEF9"/>
      <rgbColor rgb="FF800000"/>
      <rgbColor rgb="FF1B5E20"/>
      <rgbColor rgb="FF003399"/>
      <rgbColor rgb="FF555555"/>
      <rgbColor rgb="FF6A1B9A"/>
      <rgbColor rgb="FF00897B"/>
      <rgbColor rgb="FFBDBDBD"/>
      <rgbColor rgb="FF878787"/>
      <rgbColor rgb="FF888888"/>
      <rgbColor rgb="FF795548"/>
      <rgbColor rgb="FFFFF9C4"/>
      <rgbColor rgb="FFE3F2FD"/>
      <rgbColor rgb="FF660066"/>
      <rgbColor rgb="FFDC3545"/>
      <rgbColor rgb="FF0066CC"/>
      <rgbColor rgb="FFD0D0D0"/>
      <rgbColor rgb="FF000080"/>
      <rgbColor rgb="FFFAFAFA"/>
      <rgbColor rgb="FFFFFDE7"/>
      <rgbColor rgb="FFF5F5F5"/>
      <rgbColor rgb="FF800080"/>
      <rgbColor rgb="FF800000"/>
      <rgbColor rgb="FF004499"/>
      <rgbColor rgb="FF0000FF"/>
      <rgbColor rgb="FFFCE4EC"/>
      <rgbColor rgb="FFE8F4FD"/>
      <rgbColor rgb="FFE8F5E9"/>
      <rgbColor rgb="FFFFF8E1"/>
      <rgbColor rgb="FFBBDEFB"/>
      <rgbColor rgb="FFFFE0E0"/>
      <rgbColor rgb="FFD9D9D9"/>
      <rgbColor rgb="FFFFCDD2"/>
      <rgbColor rgb="FF1565C0"/>
      <rgbColor rgb="FF4F81BD"/>
      <rgbColor rgb="FFE0E0E0"/>
      <rgbColor rgb="FFDDDDDD"/>
      <rgbColor rgb="FFF9A825"/>
      <rgbColor rgb="FFE65100"/>
      <rgbColor rgb="FF666666"/>
      <rgbColor rgb="FF999999"/>
      <rgbColor rgb="FF0D3B6E"/>
      <rgbColor rgb="FF2E7D32"/>
      <rgbColor rgb="FF444444"/>
      <rgbColor rgb="FF263238"/>
      <rgbColor rgb="FFB71C1C"/>
      <rgbColor rgb="FFC62828"/>
      <rgbColor rgb="FF1A3A5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Headcount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Peter Katjiuanjo</c:v>
                </c:pt>
              </c:strCache>
            </c:strRef>
          </c:tx>
          <c:spPr>
            <a:solidFill>
              <a:srgbClr val="0066cc"/>
            </a:solidFill>
            <a:ln w="9360">
              <a:solidFill>
                <a:srgbClr val="00449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7"/>
                <c:pt idx="0">
                  <c:v>EMP009</c:v>
                </c:pt>
                <c:pt idx="1">
                  <c:v>Finance</c:v>
                </c:pt>
                <c:pt idx="2">
                  <c:v>Human Resources</c:v>
                </c:pt>
                <c:pt idx="3">
                  <c:v>Operations</c:v>
                </c:pt>
                <c:pt idx="4">
                  <c:v>Sales &amp; Marketing</c:v>
                </c:pt>
                <c:pt idx="5">
                  <c:v>Information Technology</c:v>
                </c:pt>
                <c:pt idx="6">
                  <c:v>Legal &amp; Compliance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7"/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</c:ser>
        <c:gapWidth val="150"/>
        <c:overlap val="0"/>
        <c:axId val="46114535"/>
        <c:axId val="83606604"/>
      </c:barChart>
      <c:catAx>
        <c:axId val="461145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606604"/>
        <c:crosses val="autoZero"/>
        <c:auto val="1"/>
        <c:lblAlgn val="ctr"/>
        <c:lblOffset val="100"/>
        <c:noMultiLvlLbl val="0"/>
      </c:catAx>
      <c:valAx>
        <c:axId val="836066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1145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Salary Band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label 0</c:f>
              <c:strCache>
                <c:ptCount val="1"/>
                <c:pt idx="0">
                  <c:v>31-Mar-2025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0066cc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28a745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ffc10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dc3545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categories</c:f>
              <c:strCache>
                <c:ptCount val="4"/>
                <c:pt idx="0">
                  <c:v>HR Officer</c:v>
                </c:pt>
                <c:pt idx="1">
                  <c:v>N$20-35k</c:v>
                </c:pt>
                <c:pt idx="2">
                  <c:v>N$35-60k</c:v>
                </c:pt>
                <c:pt idx="3">
                  <c:v>&gt;N$60k</c:v>
                </c:pt>
              </c:strCache>
            </c:strRef>
          </c:cat>
          <c:val>
            <c:numRef>
              <c:f>0</c:f>
              <c:numCache>
                <c:formatCode>dd\-mmm\-yyyy</c:formatCode>
                <c:ptCount val="4"/>
                <c:pt idx="0">
                  <c:v>45991</c:v>
                </c:pt>
                <c:pt idx="1">
                  <c:v>4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5</xdr:col>
      <xdr:colOff>272880</xdr:colOff>
      <xdr:row>27</xdr:row>
      <xdr:rowOff>59760</xdr:rowOff>
    </xdr:to>
    <xdr:graphicFrame>
      <xdr:nvGraphicFramePr>
        <xdr:cNvPr id="0" name="Chart 1"/>
        <xdr:cNvGraphicFramePr/>
      </xdr:nvGraphicFramePr>
      <xdr:xfrm>
        <a:off x="0" y="1819440"/>
        <a:ext cx="3797280" cy="3993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7</xdr:row>
      <xdr:rowOff>0</xdr:rowOff>
    </xdr:from>
    <xdr:to>
      <xdr:col>16</xdr:col>
      <xdr:colOff>595080</xdr:colOff>
      <xdr:row>27</xdr:row>
      <xdr:rowOff>59760</xdr:rowOff>
    </xdr:to>
    <xdr:graphicFrame>
      <xdr:nvGraphicFramePr>
        <xdr:cNvPr id="1" name="Chart 2"/>
        <xdr:cNvGraphicFramePr/>
      </xdr:nvGraphicFramePr>
      <xdr:xfrm>
        <a:off x="6343560" y="1819440"/>
        <a:ext cx="5529240" cy="3993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5"/>
    <col collapsed="false" customWidth="true" hidden="false" outlineLevel="0" max="4" min="4" style="1" width="28"/>
    <col collapsed="false" customWidth="true" hidden="false" outlineLevel="0" max="5" min="5" style="1" width="5"/>
    <col collapsed="false" customWidth="true" hidden="false" outlineLevel="0" max="6" min="6" style="1" width="28"/>
    <col collapsed="false" customWidth="true" hidden="false" outlineLevel="0" max="7" min="7" style="1" width="3"/>
  </cols>
  <sheetData>
    <row r="1" customFormat="false" ht="18" hidden="false" customHeight="true" outlineLevel="0" collapsed="false"/>
    <row r="2" customFormat="false" ht="48" hidden="false" customHeight="true" outlineLevel="0" collapsed="false">
      <c r="B2" s="2" t="s">
        <v>0</v>
      </c>
      <c r="C2" s="2"/>
      <c r="D2" s="2"/>
      <c r="E2" s="2"/>
      <c r="F2" s="2"/>
    </row>
    <row r="3" customFormat="false" ht="21.75" hidden="false" customHeight="true" outlineLevel="0" collapsed="false">
      <c r="B3" s="3" t="s">
        <v>1</v>
      </c>
      <c r="C3" s="3"/>
      <c r="D3" s="3"/>
      <c r="E3" s="3"/>
      <c r="F3" s="3"/>
    </row>
    <row r="4" customFormat="false" ht="13.5" hidden="false" customHeight="true" outlineLevel="0" collapsed="false"/>
    <row r="5" customFormat="false" ht="18" hidden="false" customHeight="true" outlineLevel="0" collapsed="false"/>
    <row r="6" customFormat="false" ht="25.5" hidden="false" customHeight="true" outlineLevel="0" collapsed="false">
      <c r="B6" s="4" t="s">
        <v>2</v>
      </c>
      <c r="D6" s="4" t="s">
        <v>3</v>
      </c>
      <c r="F6" s="4" t="s">
        <v>4</v>
      </c>
    </row>
    <row r="7" customFormat="false" ht="19.5" hidden="false" customHeight="true" outlineLevel="0" collapsed="false">
      <c r="B7" s="5" t="s">
        <v>5</v>
      </c>
      <c r="D7" s="5" t="s">
        <v>6</v>
      </c>
      <c r="F7" s="5" t="s">
        <v>7</v>
      </c>
    </row>
    <row r="8" customFormat="false" ht="18" hidden="false" customHeight="true" outlineLevel="0" collapsed="false">
      <c r="B8" s="6" t="str">
        <f aca="false">HYPERLINK("#'DASH Dashboard'!A1","Open Dashboard")</f>
        <v>Open Dashboard</v>
      </c>
      <c r="D8" s="6" t="str">
        <f aca="false">HYPERLINK("#'EMP Employees'!A1","Open Employees")</f>
        <v>Open Employees</v>
      </c>
      <c r="F8" s="6" t="str">
        <f aca="false">HYPERLINK("#'PAY Payroll'!A1","Open Payroll")</f>
        <v>Open Payroll</v>
      </c>
    </row>
    <row r="9" customFormat="false" ht="9.75" hidden="false" customHeight="true" outlineLevel="0" collapsed="false"/>
    <row r="10" customFormat="false" ht="18" hidden="false" customHeight="true" outlineLevel="0" collapsed="false"/>
    <row r="11" customFormat="false" ht="25.5" hidden="false" customHeight="true" outlineLevel="0" collapsed="false">
      <c r="B11" s="4" t="s">
        <v>8</v>
      </c>
      <c r="D11" s="4" t="s">
        <v>9</v>
      </c>
      <c r="F11" s="4" t="s">
        <v>10</v>
      </c>
    </row>
    <row r="12" customFormat="false" ht="19.5" hidden="false" customHeight="true" outlineLevel="0" collapsed="false">
      <c r="B12" s="5" t="s">
        <v>11</v>
      </c>
      <c r="D12" s="5" t="s">
        <v>12</v>
      </c>
      <c r="F12" s="5" t="s">
        <v>13</v>
      </c>
    </row>
    <row r="13" customFormat="false" ht="18" hidden="false" customHeight="true" outlineLevel="0" collapsed="false">
      <c r="B13" s="6" t="str">
        <f aca="false">HYPERLINK("#'SLP Payslip'!A1","Open Payslip")</f>
        <v>Open Payslip</v>
      </c>
      <c r="D13" s="6" t="str">
        <f aca="false">HYPERLINK("#'LVE Leave'!A1","Open Leave Tracker")</f>
        <v>Open Leave Tracker</v>
      </c>
      <c r="F13" s="6" t="str">
        <f aca="false">HYPERLINK("#'ABS Absence Log'!A1","Open Absence Log")</f>
        <v>Open Absence Log</v>
      </c>
    </row>
    <row r="14" customFormat="false" ht="9.75" hidden="false" customHeight="true" outlineLevel="0" collapsed="false"/>
    <row r="15" customFormat="false" ht="18" hidden="false" customHeight="true" outlineLevel="0" collapsed="false"/>
    <row r="16" customFormat="false" ht="25.5" hidden="false" customHeight="true" outlineLevel="0" collapsed="false">
      <c r="B16" s="4" t="s">
        <v>14</v>
      </c>
      <c r="D16" s="4" t="s">
        <v>15</v>
      </c>
      <c r="F16" s="4" t="s">
        <v>16</v>
      </c>
    </row>
    <row r="17" customFormat="false" ht="19.5" hidden="false" customHeight="true" outlineLevel="0" collapsed="false">
      <c r="B17" s="5" t="s">
        <v>17</v>
      </c>
      <c r="D17" s="5" t="s">
        <v>18</v>
      </c>
      <c r="F17" s="5" t="s">
        <v>19</v>
      </c>
    </row>
    <row r="18" customFormat="false" ht="18" hidden="false" customHeight="true" outlineLevel="0" collapsed="false">
      <c r="B18" s="6" t="str">
        <f aca="false">HYPERLINK("#'REC Recruitment'!A1","Open Recruitment")</f>
        <v>Open Recruitment</v>
      </c>
      <c r="D18" s="6" t="str">
        <f aca="false">HYPERLINK("#'SET Settings'!A1","Open Settings")</f>
        <v>Open Settings</v>
      </c>
      <c r="F18" s="6" t="str">
        <f aca="false">HYPERLINK("#'AUDIT LOG'!A1","Open Audit Log")</f>
        <v>Open Audit Log</v>
      </c>
    </row>
    <row r="19" customFormat="false" ht="9.75" hidden="false" customHeight="true" outlineLevel="0" collapsed="false"/>
    <row r="20" customFormat="false" ht="18" hidden="false" customHeight="true" outlineLevel="0" collapsed="false"/>
    <row r="21" customFormat="false" ht="25.5" hidden="false" customHeight="true" outlineLevel="0" collapsed="false">
      <c r="B21" s="4" t="s">
        <v>20</v>
      </c>
    </row>
    <row r="22" customFormat="false" ht="19.5" hidden="false" customHeight="true" outlineLevel="0" collapsed="false">
      <c r="B22" s="5" t="s">
        <v>21</v>
      </c>
    </row>
    <row r="23" customFormat="false" ht="18" hidden="false" customHeight="true" outlineLevel="0" collapsed="false">
      <c r="B23" s="6" t="str">
        <f aca="false">HYPERLINK("#'HIST Monthly History'!A1","Open Monthly History")</f>
        <v>Open Monthly History</v>
      </c>
    </row>
    <row r="24" customFormat="false" ht="9.75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9.5" hidden="false" customHeight="true" outlineLevel="0" collapsed="false">
      <c r="B27" s="7" t="s">
        <v>22</v>
      </c>
      <c r="C27" s="7"/>
      <c r="D27" s="7"/>
      <c r="E27" s="7"/>
      <c r="F27" s="7"/>
    </row>
    <row r="28" customFormat="false" ht="15.75" hidden="false" customHeight="true" outlineLevel="0" collapsed="false">
      <c r="B28" s="8" t="s">
        <v>23</v>
      </c>
      <c r="C28" s="8"/>
      <c r="D28" s="8"/>
      <c r="E28" s="8"/>
      <c r="F28" s="8"/>
    </row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</sheetData>
  <sheetProtection sheet="true" formatColumns="false" formatRows="false" sort="false" autoFilter="false"/>
  <mergeCells count="4">
    <mergeCell ref="B2:F2"/>
    <mergeCell ref="B3:F3"/>
    <mergeCell ref="B27:F27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70"/>
  </cols>
  <sheetData>
    <row r="2" customFormat="false" ht="17.25" hidden="false" customHeight="true" outlineLevel="0" collapsed="false">
      <c r="B2" s="9" t="s">
        <v>24</v>
      </c>
      <c r="C2" s="9"/>
    </row>
    <row r="4" customFormat="false" ht="15" hidden="false" customHeight="true" outlineLevel="0" collapsed="false">
      <c r="B4" s="10"/>
      <c r="C4" s="11"/>
    </row>
    <row r="5" customFormat="false" ht="15" hidden="false" customHeight="true" outlineLevel="0" collapsed="false">
      <c r="B5" s="12" t="s">
        <v>25</v>
      </c>
      <c r="C5" s="12"/>
    </row>
    <row r="6" customFormat="false" ht="15" hidden="false" customHeight="true" outlineLevel="0" collapsed="false">
      <c r="B6" s="10" t="s">
        <v>26</v>
      </c>
      <c r="C6" s="11" t="s">
        <v>27</v>
      </c>
    </row>
    <row r="7" customFormat="false" ht="15" hidden="false" customHeight="true" outlineLevel="0" collapsed="false">
      <c r="B7" s="10" t="s">
        <v>28</v>
      </c>
      <c r="C7" s="11" t="s">
        <v>29</v>
      </c>
    </row>
    <row r="8" customFormat="false" ht="15" hidden="false" customHeight="true" outlineLevel="0" collapsed="false">
      <c r="B8" s="10" t="s">
        <v>30</v>
      </c>
      <c r="C8" s="11" t="s">
        <v>31</v>
      </c>
    </row>
    <row r="9" customFormat="false" ht="15" hidden="false" customHeight="true" outlineLevel="0" collapsed="false">
      <c r="B9" s="10" t="s">
        <v>32</v>
      </c>
      <c r="C9" s="11" t="s">
        <v>33</v>
      </c>
    </row>
    <row r="10" customFormat="false" ht="15" hidden="false" customHeight="true" outlineLevel="0" collapsed="false">
      <c r="B10" s="10"/>
      <c r="C10" s="11"/>
    </row>
    <row r="11" customFormat="false" ht="15" hidden="false" customHeight="true" outlineLevel="0" collapsed="false">
      <c r="B11" s="12" t="s">
        <v>34</v>
      </c>
      <c r="C11" s="12"/>
    </row>
    <row r="12" customFormat="false" ht="15" hidden="false" customHeight="true" outlineLevel="0" collapsed="false">
      <c r="B12" s="10" t="s">
        <v>35</v>
      </c>
      <c r="C12" s="11" t="s">
        <v>36</v>
      </c>
    </row>
    <row r="13" customFormat="false" ht="15" hidden="false" customHeight="true" outlineLevel="0" collapsed="false">
      <c r="B13" s="10" t="s">
        <v>37</v>
      </c>
      <c r="C13" s="11" t="s">
        <v>38</v>
      </c>
    </row>
    <row r="14" customFormat="false" ht="15" hidden="false" customHeight="true" outlineLevel="0" collapsed="false">
      <c r="B14" s="10" t="s">
        <v>39</v>
      </c>
      <c r="C14" s="11" t="s">
        <v>40</v>
      </c>
    </row>
    <row r="15" customFormat="false" ht="15" hidden="false" customHeight="true" outlineLevel="0" collapsed="false">
      <c r="B15" s="10" t="s">
        <v>41</v>
      </c>
      <c r="C15" s="11" t="s">
        <v>42</v>
      </c>
    </row>
    <row r="16" customFormat="false" ht="15" hidden="false" customHeight="true" outlineLevel="0" collapsed="false">
      <c r="B16" s="10" t="s">
        <v>43</v>
      </c>
      <c r="C16" s="11" t="s">
        <v>44</v>
      </c>
    </row>
    <row r="17" customFormat="false" ht="15" hidden="false" customHeight="true" outlineLevel="0" collapsed="false">
      <c r="B17" s="10"/>
      <c r="C17" s="11"/>
    </row>
    <row r="18" customFormat="false" ht="15" hidden="false" customHeight="true" outlineLevel="0" collapsed="false">
      <c r="B18" s="12" t="s">
        <v>45</v>
      </c>
      <c r="C18" s="12"/>
    </row>
    <row r="19" customFormat="false" ht="15" hidden="false" customHeight="true" outlineLevel="0" collapsed="false">
      <c r="B19" s="10" t="s">
        <v>35</v>
      </c>
      <c r="C19" s="11" t="s">
        <v>46</v>
      </c>
    </row>
    <row r="20" customFormat="false" ht="15" hidden="false" customHeight="true" outlineLevel="0" collapsed="false">
      <c r="B20" s="10" t="s">
        <v>37</v>
      </c>
      <c r="C20" s="11" t="s">
        <v>47</v>
      </c>
    </row>
    <row r="21" customFormat="false" ht="15" hidden="false" customHeight="true" outlineLevel="0" collapsed="false">
      <c r="B21" s="10" t="s">
        <v>39</v>
      </c>
      <c r="C21" s="11" t="s">
        <v>48</v>
      </c>
    </row>
    <row r="22" customFormat="false" ht="15" hidden="false" customHeight="true" outlineLevel="0" collapsed="false">
      <c r="B22" s="10" t="s">
        <v>41</v>
      </c>
      <c r="C22" s="11" t="s">
        <v>49</v>
      </c>
    </row>
    <row r="23" customFormat="false" ht="15" hidden="false" customHeight="true" outlineLevel="0" collapsed="false">
      <c r="B23" s="10" t="s">
        <v>43</v>
      </c>
      <c r="C23" s="11" t="s">
        <v>50</v>
      </c>
    </row>
    <row r="24" customFormat="false" ht="15" hidden="false" customHeight="true" outlineLevel="0" collapsed="false">
      <c r="B24" s="10"/>
      <c r="C24" s="11"/>
    </row>
    <row r="25" customFormat="false" ht="15" hidden="false" customHeight="true" outlineLevel="0" collapsed="false">
      <c r="B25" s="12" t="s">
        <v>51</v>
      </c>
      <c r="C25" s="12"/>
    </row>
    <row r="26" customFormat="false" ht="15" hidden="false" customHeight="true" outlineLevel="0" collapsed="false">
      <c r="B26" s="10" t="s">
        <v>35</v>
      </c>
      <c r="C26" s="11" t="s">
        <v>52</v>
      </c>
    </row>
    <row r="27" customFormat="false" ht="15" hidden="false" customHeight="true" outlineLevel="0" collapsed="false">
      <c r="B27" s="10" t="s">
        <v>37</v>
      </c>
      <c r="C27" s="11" t="s">
        <v>53</v>
      </c>
    </row>
    <row r="28" customFormat="false" ht="15" hidden="false" customHeight="true" outlineLevel="0" collapsed="false">
      <c r="B28" s="10" t="s">
        <v>39</v>
      </c>
      <c r="C28" s="11" t="s">
        <v>54</v>
      </c>
    </row>
    <row r="29" customFormat="false" ht="15" hidden="false" customHeight="true" outlineLevel="0" collapsed="false">
      <c r="B29" s="10"/>
      <c r="C29" s="11"/>
    </row>
    <row r="30" customFormat="false" ht="15" hidden="false" customHeight="true" outlineLevel="0" collapsed="false">
      <c r="B30" s="12" t="s">
        <v>55</v>
      </c>
      <c r="C30" s="12"/>
    </row>
    <row r="31" customFormat="false" ht="15" hidden="false" customHeight="true" outlineLevel="0" collapsed="false">
      <c r="B31" s="10" t="s">
        <v>56</v>
      </c>
      <c r="C31" s="11" t="s">
        <v>57</v>
      </c>
    </row>
    <row r="32" customFormat="false" ht="15" hidden="false" customHeight="true" outlineLevel="0" collapsed="false">
      <c r="B32" s="10" t="s">
        <v>58</v>
      </c>
      <c r="C32" s="11" t="s">
        <v>59</v>
      </c>
    </row>
    <row r="33" customFormat="false" ht="15" hidden="false" customHeight="true" outlineLevel="0" collapsed="false">
      <c r="B33" s="10" t="s">
        <v>60</v>
      </c>
      <c r="C33" s="11" t="s">
        <v>61</v>
      </c>
    </row>
    <row r="34" customFormat="false" ht="15" hidden="false" customHeight="true" outlineLevel="0" collapsed="false">
      <c r="B34" s="10" t="s">
        <v>62</v>
      </c>
      <c r="C34" s="11" t="s">
        <v>63</v>
      </c>
    </row>
    <row r="35" customFormat="false" ht="15" hidden="false" customHeight="true" outlineLevel="0" collapsed="false">
      <c r="B35" s="10" t="s">
        <v>64</v>
      </c>
      <c r="C35" s="11" t="s">
        <v>65</v>
      </c>
    </row>
    <row r="36" customFormat="false" ht="15" hidden="false" customHeight="true" outlineLevel="0" collapsed="false">
      <c r="B36" s="10" t="s">
        <v>66</v>
      </c>
      <c r="C36" s="11" t="s">
        <v>67</v>
      </c>
    </row>
  </sheetData>
  <sheetProtection sheet="true"/>
  <mergeCells count="6">
    <mergeCell ref="B2:C2"/>
    <mergeCell ref="B5:C5"/>
    <mergeCell ref="B11:C11"/>
    <mergeCell ref="B18:C18"/>
    <mergeCell ref="B25:C25"/>
    <mergeCell ref="B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9" min="1" style="1" width="10"/>
  </cols>
  <sheetData>
    <row r="1" customFormat="false" ht="30" hidden="false" customHeight="true" outlineLevel="0" collapsed="false">
      <c r="A1" s="13" t="s">
        <v>68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customFormat="false" ht="15.75" hidden="false" customHeight="true" outlineLevel="0" collapsed="false">
      <c r="A2" s="14" t="str">
        <f aca="true">"Real-time KPIs · Auto-Refreshing · Data as of: "&amp;TEXT(TODAY(),"DD MMMM YYYY")</f>
        <v>Real-time KPIs · Auto-Refreshing · Data as of: 18 June 2026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4" customFormat="false" ht="21.75" hidden="false" customHeight="true" outlineLevel="0" collapsed="false">
      <c r="A4" s="15" t="s">
        <v>69</v>
      </c>
      <c r="B4" s="15"/>
      <c r="C4" s="15"/>
      <c r="D4" s="15"/>
      <c r="E4" s="15" t="s">
        <v>70</v>
      </c>
      <c r="F4" s="15"/>
      <c r="G4" s="15"/>
      <c r="H4" s="15"/>
      <c r="I4" s="15" t="s">
        <v>71</v>
      </c>
      <c r="J4" s="15"/>
      <c r="K4" s="15"/>
      <c r="L4" s="15"/>
      <c r="M4" s="15" t="s">
        <v>72</v>
      </c>
      <c r="N4" s="15"/>
      <c r="O4" s="15"/>
      <c r="P4" s="15"/>
    </row>
    <row r="5" customFormat="false" ht="36" hidden="false" customHeight="true" outlineLevel="0" collapsed="false">
      <c r="A5" s="16" t="n">
        <f aca="false">COUNTIF('EMP Employees'!U3:U52,"Active")</f>
        <v>0</v>
      </c>
      <c r="B5" s="16"/>
      <c r="C5" s="16"/>
      <c r="D5" s="16"/>
      <c r="E5" s="17" t="n">
        <f aca="false">IFERROR('PAY Payroll'!U54,0)</f>
        <v>0</v>
      </c>
      <c r="F5" s="17"/>
      <c r="G5" s="17"/>
      <c r="H5" s="17"/>
      <c r="I5" s="18" t="str">
        <f aca="false">IFERROR(TEXT(COUNTIF('EMP Employees'!E3:E52,"Female")/COUNTIF('EMP Employees'!U3:U52,"Active"),"0.0%"),"0.0%")</f>
        <v>0.0%</v>
      </c>
      <c r="J5" s="18"/>
      <c r="K5" s="18"/>
      <c r="L5" s="18"/>
      <c r="M5" s="19" t="n">
        <f aca="false">IFERROR(ROUND(AVERAGEIF('EMP Employees'!U3:U52,"Active",'EMP Employees'!V3:V52)/12,1),0)</f>
        <v>0</v>
      </c>
      <c r="N5" s="19"/>
      <c r="O5" s="19"/>
      <c r="P5" s="19"/>
    </row>
    <row r="6" customFormat="false" ht="9.75" hidden="false" customHeight="true" outlineLevel="0" collapsed="false">
      <c r="A6" s="16"/>
      <c r="B6" s="16"/>
      <c r="C6" s="16"/>
      <c r="D6" s="16"/>
      <c r="E6" s="17"/>
      <c r="F6" s="17"/>
      <c r="G6" s="17"/>
      <c r="H6" s="17"/>
      <c r="I6" s="18"/>
      <c r="J6" s="18"/>
      <c r="K6" s="18"/>
      <c r="L6" s="18"/>
      <c r="M6" s="19"/>
      <c r="N6" s="19"/>
      <c r="O6" s="19"/>
      <c r="P6" s="19"/>
    </row>
    <row r="18" customFormat="false" ht="21.75" hidden="false" customHeight="true" outlineLevel="0" collapsed="false">
      <c r="A18" s="20" t="s">
        <v>73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</row>
    <row r="19" customFormat="false" ht="18" hidden="false" customHeight="true" outlineLevel="0" collapsed="false">
      <c r="A19" s="21" t="s">
        <v>74</v>
      </c>
      <c r="B19" s="21" t="s">
        <v>75</v>
      </c>
      <c r="C19" s="21" t="s">
        <v>76</v>
      </c>
      <c r="D19" s="21" t="s">
        <v>77</v>
      </c>
      <c r="E19" s="21" t="s">
        <v>78</v>
      </c>
      <c r="F19" s="21" t="s">
        <v>79</v>
      </c>
    </row>
    <row r="20" customFormat="false" ht="15" hidden="false" customHeight="true" outlineLevel="0" collapsed="false">
      <c r="A20" s="22"/>
      <c r="B20" s="22"/>
      <c r="C20" s="22"/>
      <c r="D20" s="22"/>
      <c r="E20" s="23"/>
      <c r="F20" s="24" t="n">
        <f aca="true">IFERROR(E20-TODAY(),"")</f>
        <v>-46191</v>
      </c>
    </row>
    <row r="21" customFormat="false" ht="15" hidden="false" customHeight="true" outlineLevel="0" collapsed="false">
      <c r="A21" s="22"/>
      <c r="B21" s="22"/>
      <c r="C21" s="22"/>
      <c r="D21" s="22"/>
      <c r="E21" s="23"/>
      <c r="F21" s="24" t="n">
        <f aca="true">IFERROR(E21-TODAY(),"")</f>
        <v>-46191</v>
      </c>
    </row>
    <row r="22" customFormat="false" ht="15" hidden="false" customHeight="true" outlineLevel="0" collapsed="false">
      <c r="A22" s="1" t="s">
        <v>80</v>
      </c>
      <c r="B22" s="1" t="n">
        <f aca="false">COUNTIF('EMP Employees'!$M$3:$M$52,A22)</f>
        <v>0</v>
      </c>
      <c r="E22" s="1" t="n">
        <f aca="false">COUNTIFS('PAY Payroll'!C4:C13,"&gt;="&amp;20000,'PAY Payroll'!C4:C13,"&lt;"&amp;35000)</f>
        <v>0</v>
      </c>
    </row>
    <row r="23" customFormat="false" ht="15" hidden="false" customHeight="true" outlineLevel="0" collapsed="false">
      <c r="A23" s="1" t="s">
        <v>81</v>
      </c>
      <c r="B23" s="1" t="n">
        <f aca="false">COUNTIF('EMP Employees'!$M$3:$M$52,A23)</f>
        <v>0</v>
      </c>
      <c r="D23" s="1" t="s">
        <v>82</v>
      </c>
      <c r="E23" s="1" t="n">
        <f aca="false">COUNTIFS('PAY Payroll'!C4:C13,"&gt;="&amp;35000,'PAY Payroll'!C4:C13,"&lt;"&amp;60000)</f>
        <v>0</v>
      </c>
    </row>
    <row r="24" customFormat="false" ht="15" hidden="false" customHeight="true" outlineLevel="0" collapsed="false">
      <c r="A24" s="1" t="s">
        <v>83</v>
      </c>
      <c r="B24" s="1" t="n">
        <f aca="false">COUNTIF('EMP Employees'!$M$3:$M$52,A24)</f>
        <v>0</v>
      </c>
      <c r="D24" s="1" t="s">
        <v>84</v>
      </c>
      <c r="E24" s="1" t="n">
        <f aca="false">COUNTIFS('PAY Payroll'!C4:C13,"&gt;="&amp;60000)</f>
        <v>0</v>
      </c>
    </row>
    <row r="25" customFormat="false" ht="15" hidden="false" customHeight="true" outlineLevel="0" collapsed="false">
      <c r="A25" s="1" t="s">
        <v>85</v>
      </c>
      <c r="B25" s="1" t="n">
        <f aca="false">COUNTIF('EMP Employees'!$M$3:$M$52,A25)</f>
        <v>0</v>
      </c>
    </row>
    <row r="26" customFormat="false" ht="15" hidden="false" customHeight="true" outlineLevel="0" collapsed="false">
      <c r="A26" s="1" t="s">
        <v>86</v>
      </c>
      <c r="B26" s="1" t="n">
        <f aca="false">COUNTIF('EMP Employees'!$M$3:$M$52,A26)</f>
        <v>0</v>
      </c>
    </row>
    <row r="27" customFormat="false" ht="15" hidden="false" customHeight="true" outlineLevel="0" collapsed="false">
      <c r="A27" s="1" t="s">
        <v>87</v>
      </c>
      <c r="B27" s="1" t="n">
        <f aca="false">COUNTIF('EMP Employees'!$M$3:$M$52,A27)</f>
        <v>0</v>
      </c>
    </row>
  </sheetData>
  <sheetProtection sheet="true" formatColumns="false" formatRows="false" sort="false" autoFilter="false"/>
  <mergeCells count="11">
    <mergeCell ref="A1:R1"/>
    <mergeCell ref="A2:R2"/>
    <mergeCell ref="A4:D4"/>
    <mergeCell ref="E4:H4"/>
    <mergeCell ref="I4:L4"/>
    <mergeCell ref="M4:P4"/>
    <mergeCell ref="A5:D6"/>
    <mergeCell ref="E5:H6"/>
    <mergeCell ref="I5:L6"/>
    <mergeCell ref="M5:P6"/>
    <mergeCell ref="A18:R18"/>
  </mergeCells>
  <conditionalFormatting sqref="F20:F27">
    <cfRule type="cellIs" priority="2" operator="lessThanOrEqual" aboveAverage="0" equalAverage="0" bottom="0" percent="0" rank="0" text="" dxfId="0">
      <formula>30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7" min="5" style="1" width="12"/>
    <col collapsed="false" customWidth="true" hidden="false" outlineLevel="0" max="9" min="8" style="1" width="16"/>
    <col collapsed="false" customWidth="true" hidden="false" outlineLevel="0" max="10" min="10" style="1" width="20"/>
    <col collapsed="false" customWidth="true" hidden="false" outlineLevel="0" max="11" min="11" style="1" width="12"/>
    <col collapsed="false" customWidth="true" hidden="false" outlineLevel="0" max="12" min="12" style="1" width="14"/>
    <col collapsed="false" customWidth="true" hidden="false" outlineLevel="0" max="13" min="13" style="1" width="18"/>
    <col collapsed="false" customWidth="true" hidden="false" outlineLevel="0" max="14" min="14" style="1" width="20"/>
    <col collapsed="false" customWidth="true" hidden="false" outlineLevel="0" max="15" min="15" style="1" width="18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2"/>
    <col collapsed="false" customWidth="true" hidden="false" outlineLevel="0" max="19" min="19" style="1" width="16"/>
    <col collapsed="false" customWidth="true" hidden="false" outlineLevel="0" max="20" min="20" style="1" width="20"/>
    <col collapsed="false" customWidth="true" hidden="false" outlineLevel="0" max="21" min="21" style="1" width="12"/>
    <col collapsed="false" customWidth="true" hidden="false" outlineLevel="0" max="22" min="22" style="1" width="8"/>
  </cols>
  <sheetData>
    <row r="1" customFormat="false" ht="30" hidden="false" customHeight="true" outlineLevel="0" collapsed="false">
      <c r="A1" s="25" t="s">
        <v>88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11"/>
      <c r="X1" s="11"/>
      <c r="Y1" s="11"/>
      <c r="Z1" s="11"/>
      <c r="AA1" s="11"/>
      <c r="AB1" s="11"/>
      <c r="AC1" s="11"/>
      <c r="AD1" s="11"/>
    </row>
    <row r="2" customFormat="false" ht="19.5" hidden="false" customHeight="true" outlineLevel="0" collapsed="false">
      <c r="A2" s="26" t="s">
        <v>74</v>
      </c>
      <c r="B2" s="26" t="s">
        <v>89</v>
      </c>
      <c r="C2" s="26" t="s">
        <v>90</v>
      </c>
      <c r="D2" s="26" t="s">
        <v>91</v>
      </c>
      <c r="E2" s="26" t="s">
        <v>92</v>
      </c>
      <c r="F2" s="26" t="s">
        <v>93</v>
      </c>
      <c r="G2" s="26" t="s">
        <v>94</v>
      </c>
      <c r="H2" s="26" t="s">
        <v>95</v>
      </c>
      <c r="I2" s="26" t="s">
        <v>96</v>
      </c>
      <c r="J2" s="26" t="s">
        <v>97</v>
      </c>
      <c r="K2" s="26" t="s">
        <v>98</v>
      </c>
      <c r="L2" s="26" t="s">
        <v>99</v>
      </c>
      <c r="M2" s="26" t="s">
        <v>76</v>
      </c>
      <c r="N2" s="26" t="s">
        <v>100</v>
      </c>
      <c r="O2" s="26" t="s">
        <v>101</v>
      </c>
      <c r="P2" s="26" t="s">
        <v>102</v>
      </c>
      <c r="Q2" s="26" t="s">
        <v>78</v>
      </c>
      <c r="R2" s="26" t="s">
        <v>103</v>
      </c>
      <c r="S2" s="26" t="s">
        <v>104</v>
      </c>
      <c r="T2" s="26" t="s">
        <v>105</v>
      </c>
      <c r="U2" s="26" t="s">
        <v>106</v>
      </c>
      <c r="V2" s="26" t="s">
        <v>107</v>
      </c>
      <c r="W2" s="11"/>
      <c r="X2" s="11"/>
      <c r="Y2" s="11"/>
      <c r="Z2" s="11"/>
      <c r="AA2" s="11"/>
      <c r="AB2" s="11"/>
      <c r="AC2" s="11"/>
      <c r="AD2" s="11"/>
    </row>
    <row r="3" customFormat="false" ht="15.75" hidden="false" customHeight="true" outlineLevel="0" collapsed="false">
      <c r="A3" s="27"/>
      <c r="B3" s="27"/>
      <c r="C3" s="27"/>
      <c r="D3" s="28"/>
      <c r="E3" s="27"/>
      <c r="F3" s="27"/>
      <c r="G3" s="27"/>
      <c r="H3" s="27"/>
      <c r="I3" s="27"/>
      <c r="J3" s="27"/>
      <c r="K3" s="27"/>
      <c r="L3" s="28"/>
      <c r="M3" s="27"/>
      <c r="N3" s="27"/>
      <c r="O3" s="27"/>
      <c r="P3" s="27"/>
      <c r="Q3" s="28"/>
      <c r="R3" s="27"/>
      <c r="S3" s="29"/>
      <c r="T3" s="29"/>
      <c r="U3" s="27"/>
      <c r="V3" s="30" t="n">
        <f aca="true">IFERROR(DATEDIF(D3,TODAY(),"Y"),"")</f>
        <v>126</v>
      </c>
      <c r="W3" s="11"/>
      <c r="X3" s="11"/>
      <c r="Y3" s="11"/>
      <c r="Z3" s="11"/>
      <c r="AA3" s="11"/>
      <c r="AB3" s="11"/>
      <c r="AC3" s="11"/>
      <c r="AD3" s="11"/>
    </row>
    <row r="4" customFormat="false" ht="15.75" hidden="false" customHeight="true" outlineLevel="0" collapsed="false">
      <c r="A4" s="27"/>
      <c r="B4" s="27"/>
      <c r="C4" s="27"/>
      <c r="D4" s="28"/>
      <c r="E4" s="27"/>
      <c r="F4" s="27"/>
      <c r="G4" s="27"/>
      <c r="H4" s="27"/>
      <c r="I4" s="27"/>
      <c r="J4" s="27"/>
      <c r="K4" s="27"/>
      <c r="L4" s="28"/>
      <c r="M4" s="27"/>
      <c r="N4" s="27"/>
      <c r="O4" s="27"/>
      <c r="P4" s="27"/>
      <c r="Q4" s="28"/>
      <c r="R4" s="27"/>
      <c r="S4" s="29"/>
      <c r="T4" s="29"/>
      <c r="U4" s="27"/>
      <c r="V4" s="30" t="n">
        <f aca="true">IFERROR(DATEDIF(D4,TODAY(),"Y"),"")</f>
        <v>126</v>
      </c>
      <c r="W4" s="11"/>
      <c r="X4" s="11"/>
      <c r="Y4" s="11"/>
      <c r="Z4" s="11"/>
      <c r="AA4" s="11"/>
      <c r="AB4" s="11"/>
      <c r="AC4" s="11"/>
      <c r="AD4" s="11"/>
    </row>
    <row r="5" customFormat="false" ht="15.75" hidden="false" customHeight="true" outlineLevel="0" collapsed="false">
      <c r="A5" s="27"/>
      <c r="B5" s="27"/>
      <c r="C5" s="27"/>
      <c r="D5" s="28"/>
      <c r="E5" s="27"/>
      <c r="F5" s="27"/>
      <c r="G5" s="27"/>
      <c r="H5" s="27"/>
      <c r="I5" s="27"/>
      <c r="J5" s="27"/>
      <c r="K5" s="27"/>
      <c r="L5" s="28"/>
      <c r="M5" s="27"/>
      <c r="N5" s="27"/>
      <c r="O5" s="27"/>
      <c r="P5" s="27"/>
      <c r="Q5" s="28"/>
      <c r="R5" s="27"/>
      <c r="S5" s="29"/>
      <c r="T5" s="29"/>
      <c r="U5" s="27"/>
      <c r="V5" s="30" t="n">
        <f aca="true">IFERROR(DATEDIF(D5,TODAY(),"Y"),"")</f>
        <v>126</v>
      </c>
      <c r="W5" s="11"/>
      <c r="X5" s="11"/>
      <c r="Y5" s="11"/>
      <c r="Z5" s="11"/>
      <c r="AA5" s="11"/>
      <c r="AB5" s="11"/>
      <c r="AC5" s="11"/>
      <c r="AD5" s="11"/>
    </row>
    <row r="6" customFormat="false" ht="15.75" hidden="false" customHeight="true" outlineLevel="0" collapsed="false">
      <c r="A6" s="27"/>
      <c r="B6" s="27"/>
      <c r="C6" s="27"/>
      <c r="D6" s="28"/>
      <c r="E6" s="27"/>
      <c r="F6" s="27"/>
      <c r="G6" s="27"/>
      <c r="H6" s="27"/>
      <c r="I6" s="27"/>
      <c r="J6" s="27"/>
      <c r="K6" s="27"/>
      <c r="L6" s="28"/>
      <c r="M6" s="27"/>
      <c r="N6" s="27"/>
      <c r="O6" s="27"/>
      <c r="P6" s="27"/>
      <c r="Q6" s="28"/>
      <c r="R6" s="27"/>
      <c r="S6" s="29"/>
      <c r="T6" s="29"/>
      <c r="U6" s="27"/>
      <c r="V6" s="30" t="n">
        <f aca="true">IFERROR(DATEDIF(D6,TODAY(),"Y"),"")</f>
        <v>126</v>
      </c>
      <c r="W6" s="11"/>
      <c r="X6" s="11"/>
      <c r="Y6" s="11"/>
      <c r="Z6" s="11"/>
      <c r="AA6" s="11"/>
      <c r="AB6" s="11"/>
      <c r="AC6" s="11"/>
      <c r="AD6" s="11"/>
    </row>
    <row r="7" customFormat="false" ht="15.75" hidden="false" customHeight="true" outlineLevel="0" collapsed="false">
      <c r="A7" s="27"/>
      <c r="B7" s="27"/>
      <c r="C7" s="27"/>
      <c r="D7" s="28"/>
      <c r="E7" s="27"/>
      <c r="F7" s="27"/>
      <c r="G7" s="27"/>
      <c r="H7" s="27"/>
      <c r="I7" s="27"/>
      <c r="J7" s="27"/>
      <c r="K7" s="27"/>
      <c r="L7" s="28"/>
      <c r="M7" s="27"/>
      <c r="N7" s="27"/>
      <c r="O7" s="27"/>
      <c r="P7" s="27"/>
      <c r="Q7" s="28"/>
      <c r="R7" s="27"/>
      <c r="S7" s="29"/>
      <c r="T7" s="29"/>
      <c r="U7" s="27"/>
      <c r="V7" s="30" t="n">
        <f aca="true">IFERROR(DATEDIF(D7,TODAY(),"Y"),"")</f>
        <v>126</v>
      </c>
      <c r="W7" s="11"/>
      <c r="X7" s="11"/>
      <c r="Y7" s="11"/>
      <c r="Z7" s="11"/>
      <c r="AA7" s="11"/>
      <c r="AB7" s="11"/>
      <c r="AC7" s="11"/>
      <c r="AD7" s="11"/>
    </row>
    <row r="8" customFormat="false" ht="15.75" hidden="false" customHeight="true" outlineLevel="0" collapsed="false">
      <c r="A8" s="27"/>
      <c r="B8" s="27"/>
      <c r="C8" s="27"/>
      <c r="D8" s="28"/>
      <c r="E8" s="27"/>
      <c r="F8" s="27"/>
      <c r="G8" s="27"/>
      <c r="H8" s="27"/>
      <c r="I8" s="27"/>
      <c r="J8" s="27"/>
      <c r="K8" s="27"/>
      <c r="L8" s="28"/>
      <c r="M8" s="27"/>
      <c r="N8" s="27"/>
      <c r="O8" s="27"/>
      <c r="P8" s="27"/>
      <c r="Q8" s="28"/>
      <c r="R8" s="27"/>
      <c r="S8" s="29"/>
      <c r="T8" s="29"/>
      <c r="U8" s="27"/>
      <c r="V8" s="30" t="n">
        <f aca="true">IFERROR(DATEDIF(D8,TODAY(),"Y"),"")</f>
        <v>126</v>
      </c>
      <c r="W8" s="11"/>
      <c r="X8" s="11"/>
      <c r="Y8" s="11"/>
      <c r="Z8" s="11"/>
      <c r="AA8" s="11"/>
      <c r="AB8" s="11"/>
      <c r="AC8" s="11"/>
      <c r="AD8" s="11"/>
    </row>
    <row r="9" customFormat="false" ht="15.75" hidden="false" customHeight="true" outlineLevel="0" collapsed="false">
      <c r="A9" s="27"/>
      <c r="B9" s="27"/>
      <c r="C9" s="27"/>
      <c r="D9" s="28"/>
      <c r="E9" s="27"/>
      <c r="F9" s="27"/>
      <c r="G9" s="27"/>
      <c r="H9" s="27"/>
      <c r="I9" s="27"/>
      <c r="J9" s="27"/>
      <c r="K9" s="27"/>
      <c r="L9" s="28"/>
      <c r="M9" s="27"/>
      <c r="N9" s="27"/>
      <c r="O9" s="27"/>
      <c r="P9" s="27"/>
      <c r="Q9" s="28"/>
      <c r="R9" s="27"/>
      <c r="S9" s="29"/>
      <c r="T9" s="29"/>
      <c r="U9" s="27"/>
      <c r="V9" s="30" t="n">
        <f aca="true">IFERROR(DATEDIF(D9,TODAY(),"Y"),"")</f>
        <v>126</v>
      </c>
      <c r="W9" s="11"/>
      <c r="X9" s="11"/>
      <c r="Y9" s="11"/>
      <c r="Z9" s="11"/>
      <c r="AA9" s="11"/>
      <c r="AB9" s="11"/>
      <c r="AC9" s="11"/>
      <c r="AD9" s="11"/>
    </row>
    <row r="10" customFormat="false" ht="15.75" hidden="false" customHeight="true" outlineLevel="0" collapsed="false">
      <c r="A10" s="27"/>
      <c r="B10" s="27"/>
      <c r="C10" s="27"/>
      <c r="D10" s="28"/>
      <c r="E10" s="27"/>
      <c r="F10" s="27"/>
      <c r="G10" s="27"/>
      <c r="H10" s="27"/>
      <c r="I10" s="27"/>
      <c r="J10" s="27"/>
      <c r="K10" s="27"/>
      <c r="L10" s="28"/>
      <c r="M10" s="27"/>
      <c r="N10" s="27"/>
      <c r="O10" s="27"/>
      <c r="P10" s="27"/>
      <c r="Q10" s="28"/>
      <c r="R10" s="27"/>
      <c r="S10" s="29"/>
      <c r="T10" s="29"/>
      <c r="U10" s="27"/>
      <c r="V10" s="30" t="n">
        <f aca="true">IFERROR(DATEDIF(D10,TODAY(),"Y"),"")</f>
        <v>126</v>
      </c>
      <c r="W10" s="11"/>
      <c r="X10" s="11"/>
      <c r="Y10" s="11"/>
      <c r="Z10" s="11"/>
      <c r="AA10" s="11"/>
      <c r="AB10" s="11"/>
      <c r="AC10" s="11"/>
      <c r="AD10" s="11"/>
    </row>
    <row r="11" customFormat="false" ht="15.75" hidden="false" customHeight="true" outlineLevel="0" collapsed="false">
      <c r="A11" s="27"/>
      <c r="B11" s="27"/>
      <c r="C11" s="27"/>
      <c r="D11" s="28"/>
      <c r="E11" s="27"/>
      <c r="F11" s="27"/>
      <c r="G11" s="27"/>
      <c r="H11" s="27"/>
      <c r="I11" s="27"/>
      <c r="J11" s="27"/>
      <c r="K11" s="27"/>
      <c r="L11" s="28"/>
      <c r="M11" s="27"/>
      <c r="N11" s="27"/>
      <c r="O11" s="27"/>
      <c r="P11" s="27"/>
      <c r="Q11" s="28"/>
      <c r="R11" s="27"/>
      <c r="S11" s="29"/>
      <c r="T11" s="29"/>
      <c r="U11" s="27"/>
      <c r="V11" s="30" t="n">
        <f aca="true">IFERROR(DATEDIF(D11,TODAY(),"Y"),"")</f>
        <v>126</v>
      </c>
      <c r="W11" s="11"/>
      <c r="X11" s="11"/>
      <c r="Y11" s="11"/>
      <c r="Z11" s="11"/>
      <c r="AA11" s="11"/>
      <c r="AB11" s="11"/>
      <c r="AC11" s="11"/>
      <c r="AD11" s="11"/>
    </row>
    <row r="12" customFormat="false" ht="15.75" hidden="false" customHeight="true" outlineLevel="0" collapsed="false">
      <c r="A12" s="27"/>
      <c r="B12" s="27"/>
      <c r="C12" s="27"/>
      <c r="D12" s="28"/>
      <c r="E12" s="27"/>
      <c r="F12" s="27"/>
      <c r="G12" s="27"/>
      <c r="H12" s="27"/>
      <c r="I12" s="27"/>
      <c r="J12" s="27"/>
      <c r="K12" s="27"/>
      <c r="L12" s="28"/>
      <c r="M12" s="27"/>
      <c r="N12" s="27"/>
      <c r="O12" s="27"/>
      <c r="P12" s="27"/>
      <c r="Q12" s="28"/>
      <c r="R12" s="27"/>
      <c r="S12" s="29"/>
      <c r="T12" s="29"/>
      <c r="U12" s="27"/>
      <c r="V12" s="30" t="n">
        <f aca="true">IFERROR(DATEDIF(D12,TODAY(),"Y"),"")</f>
        <v>126</v>
      </c>
      <c r="W12" s="11"/>
      <c r="X12" s="11"/>
      <c r="Y12" s="11"/>
      <c r="Z12" s="11"/>
      <c r="AA12" s="11"/>
      <c r="AB12" s="11"/>
      <c r="AC12" s="11"/>
      <c r="AD12" s="11"/>
    </row>
    <row r="13" customFormat="false" ht="15" hidden="false" customHeight="true" outlineLevel="0" collapsed="false">
      <c r="A13" s="27"/>
      <c r="B13" s="27"/>
      <c r="C13" s="27"/>
      <c r="D13" s="28"/>
      <c r="E13" s="27"/>
      <c r="F13" s="27"/>
      <c r="G13" s="27"/>
      <c r="H13" s="27"/>
      <c r="I13" s="27"/>
      <c r="J13" s="27"/>
      <c r="K13" s="27"/>
      <c r="L13" s="28"/>
      <c r="M13" s="27"/>
      <c r="N13" s="27"/>
      <c r="O13" s="27"/>
      <c r="P13" s="27"/>
      <c r="Q13" s="28"/>
      <c r="R13" s="27"/>
      <c r="S13" s="29"/>
      <c r="T13" s="29"/>
      <c r="U13" s="27"/>
      <c r="V13" s="30" t="n">
        <f aca="true">IFERROR(DATEDIF(D13,TODAY(),"Y"),"")</f>
        <v>126</v>
      </c>
      <c r="W13" s="11"/>
      <c r="X13" s="11"/>
      <c r="Y13" s="11"/>
      <c r="Z13" s="11"/>
      <c r="AA13" s="11"/>
      <c r="AB13" s="11"/>
      <c r="AC13" s="11"/>
      <c r="AD13" s="11"/>
    </row>
    <row r="14" customFormat="false" ht="15" hidden="false" customHeight="true" outlineLevel="0" collapsed="false">
      <c r="A14" s="27"/>
      <c r="B14" s="27"/>
      <c r="C14" s="27"/>
      <c r="D14" s="28"/>
      <c r="E14" s="27"/>
      <c r="F14" s="27"/>
      <c r="G14" s="27"/>
      <c r="H14" s="27"/>
      <c r="I14" s="27"/>
      <c r="J14" s="27"/>
      <c r="K14" s="27"/>
      <c r="L14" s="28"/>
      <c r="M14" s="27"/>
      <c r="N14" s="27"/>
      <c r="O14" s="27"/>
      <c r="P14" s="27"/>
      <c r="Q14" s="28"/>
      <c r="R14" s="27"/>
      <c r="S14" s="29"/>
      <c r="T14" s="29"/>
      <c r="U14" s="27"/>
      <c r="V14" s="30" t="n">
        <f aca="true">IFERROR(DATEDIF(D14,TODAY(),"Y"),"")</f>
        <v>126</v>
      </c>
      <c r="W14" s="11"/>
      <c r="X14" s="11"/>
      <c r="Y14" s="11"/>
      <c r="Z14" s="11"/>
      <c r="AA14" s="11"/>
      <c r="AB14" s="11"/>
      <c r="AC14" s="11"/>
      <c r="AD14" s="11"/>
    </row>
    <row r="15" customFormat="false" ht="15" hidden="false" customHeight="true" outlineLevel="0" collapsed="false">
      <c r="A15" s="27"/>
      <c r="B15" s="27"/>
      <c r="C15" s="27"/>
      <c r="D15" s="28"/>
      <c r="E15" s="27"/>
      <c r="F15" s="27"/>
      <c r="G15" s="27"/>
      <c r="H15" s="27"/>
      <c r="I15" s="27"/>
      <c r="J15" s="27"/>
      <c r="K15" s="27"/>
      <c r="L15" s="28"/>
      <c r="M15" s="27"/>
      <c r="N15" s="27"/>
      <c r="O15" s="27"/>
      <c r="P15" s="27"/>
      <c r="Q15" s="28"/>
      <c r="R15" s="27"/>
      <c r="S15" s="29"/>
      <c r="T15" s="29"/>
      <c r="U15" s="27"/>
      <c r="V15" s="30" t="n">
        <f aca="true">IFERROR(DATEDIF(D15,TODAY(),"Y"),"")</f>
        <v>126</v>
      </c>
    </row>
    <row r="16" customFormat="false" ht="15" hidden="false" customHeight="true" outlineLevel="0" collapsed="false">
      <c r="A16" s="27"/>
      <c r="B16" s="27"/>
      <c r="C16" s="27"/>
      <c r="D16" s="28"/>
      <c r="E16" s="27"/>
      <c r="F16" s="27"/>
      <c r="G16" s="27"/>
      <c r="H16" s="27"/>
      <c r="I16" s="27"/>
      <c r="J16" s="27"/>
      <c r="K16" s="27"/>
      <c r="L16" s="28"/>
      <c r="M16" s="27"/>
      <c r="N16" s="27"/>
      <c r="O16" s="27"/>
      <c r="P16" s="27"/>
      <c r="Q16" s="28"/>
      <c r="R16" s="27"/>
      <c r="S16" s="29"/>
      <c r="T16" s="29"/>
      <c r="U16" s="27"/>
      <c r="V16" s="30" t="n">
        <f aca="true">IFERROR(DATEDIF(D16,TODAY(),"Y"),"")</f>
        <v>126</v>
      </c>
    </row>
    <row r="17" customFormat="false" ht="15" hidden="false" customHeight="true" outlineLevel="0" collapsed="false">
      <c r="A17" s="27"/>
      <c r="B17" s="27"/>
      <c r="C17" s="27"/>
      <c r="D17" s="28"/>
      <c r="E17" s="27"/>
      <c r="F17" s="27"/>
      <c r="G17" s="27"/>
      <c r="H17" s="27"/>
      <c r="I17" s="27"/>
      <c r="J17" s="27"/>
      <c r="K17" s="27"/>
      <c r="L17" s="28"/>
      <c r="M17" s="27"/>
      <c r="N17" s="27"/>
      <c r="O17" s="27"/>
      <c r="P17" s="27"/>
      <c r="Q17" s="28"/>
      <c r="R17" s="27"/>
      <c r="S17" s="29"/>
      <c r="T17" s="29"/>
      <c r="U17" s="27"/>
      <c r="V17" s="30" t="n">
        <f aca="true">IFERROR(DATEDIF(D17,TODAY(),"Y"),"")</f>
        <v>126</v>
      </c>
    </row>
    <row r="18" customFormat="false" ht="15" hidden="false" customHeight="true" outlineLevel="0" collapsed="false">
      <c r="A18" s="27"/>
      <c r="B18" s="27"/>
      <c r="C18" s="27"/>
      <c r="D18" s="28"/>
      <c r="E18" s="27"/>
      <c r="F18" s="27"/>
      <c r="G18" s="27"/>
      <c r="H18" s="27"/>
      <c r="I18" s="27"/>
      <c r="J18" s="27"/>
      <c r="K18" s="27"/>
      <c r="L18" s="28"/>
      <c r="M18" s="27"/>
      <c r="N18" s="27"/>
      <c r="O18" s="27"/>
      <c r="P18" s="27"/>
      <c r="Q18" s="28"/>
      <c r="R18" s="27"/>
      <c r="S18" s="29"/>
      <c r="T18" s="29"/>
      <c r="U18" s="27"/>
      <c r="V18" s="30" t="n">
        <f aca="true">IFERROR(DATEDIF(D18,TODAY(),"Y"),"")</f>
        <v>126</v>
      </c>
    </row>
    <row r="19" customFormat="false" ht="15" hidden="false" customHeight="true" outlineLevel="0" collapsed="false">
      <c r="A19" s="27"/>
      <c r="B19" s="27"/>
      <c r="C19" s="27"/>
      <c r="D19" s="28"/>
      <c r="E19" s="27"/>
      <c r="F19" s="27"/>
      <c r="G19" s="27"/>
      <c r="H19" s="27"/>
      <c r="I19" s="27"/>
      <c r="J19" s="27"/>
      <c r="K19" s="27"/>
      <c r="L19" s="28"/>
      <c r="M19" s="27"/>
      <c r="N19" s="27"/>
      <c r="O19" s="27"/>
      <c r="P19" s="27"/>
      <c r="Q19" s="28"/>
      <c r="R19" s="27"/>
      <c r="S19" s="29"/>
      <c r="T19" s="29"/>
      <c r="U19" s="27"/>
      <c r="V19" s="30" t="n">
        <f aca="true">IFERROR(DATEDIF(D19,TODAY(),"Y"),"")</f>
        <v>126</v>
      </c>
    </row>
    <row r="20" customFormat="false" ht="15" hidden="false" customHeight="true" outlineLevel="0" collapsed="false">
      <c r="A20" s="27"/>
      <c r="B20" s="27"/>
      <c r="C20" s="27"/>
      <c r="D20" s="28"/>
      <c r="E20" s="27"/>
      <c r="F20" s="27"/>
      <c r="G20" s="27"/>
      <c r="H20" s="27"/>
      <c r="I20" s="27"/>
      <c r="J20" s="27"/>
      <c r="K20" s="27"/>
      <c r="L20" s="28"/>
      <c r="M20" s="27"/>
      <c r="N20" s="27"/>
      <c r="O20" s="27"/>
      <c r="P20" s="27"/>
      <c r="Q20" s="28"/>
      <c r="R20" s="27"/>
      <c r="S20" s="29"/>
      <c r="T20" s="29"/>
      <c r="U20" s="27"/>
      <c r="V20" s="30" t="n">
        <f aca="true">IFERROR(DATEDIF(D20,TODAY(),"Y"),"")</f>
        <v>126</v>
      </c>
    </row>
    <row r="21" customFormat="false" ht="15" hidden="false" customHeight="true" outlineLevel="0" collapsed="false">
      <c r="A21" s="27"/>
      <c r="B21" s="27"/>
      <c r="C21" s="27"/>
      <c r="D21" s="28"/>
      <c r="E21" s="27"/>
      <c r="F21" s="27"/>
      <c r="G21" s="27"/>
      <c r="H21" s="27"/>
      <c r="I21" s="27"/>
      <c r="J21" s="27"/>
      <c r="K21" s="27"/>
      <c r="L21" s="28"/>
      <c r="M21" s="27"/>
      <c r="N21" s="27"/>
      <c r="O21" s="27"/>
      <c r="P21" s="27"/>
      <c r="Q21" s="28"/>
      <c r="R21" s="27"/>
      <c r="S21" s="29"/>
      <c r="T21" s="29"/>
      <c r="U21" s="27"/>
      <c r="V21" s="30" t="n">
        <f aca="true">IFERROR(DATEDIF(D21,TODAY(),"Y"),"")</f>
        <v>126</v>
      </c>
    </row>
    <row r="22" customFormat="false" ht="15" hidden="false" customHeight="true" outlineLevel="0" collapsed="false">
      <c r="A22" s="27"/>
      <c r="B22" s="27"/>
      <c r="C22" s="27"/>
      <c r="D22" s="28"/>
      <c r="E22" s="27"/>
      <c r="F22" s="27"/>
      <c r="G22" s="27"/>
      <c r="H22" s="27"/>
      <c r="I22" s="27"/>
      <c r="J22" s="27"/>
      <c r="K22" s="27"/>
      <c r="L22" s="28"/>
      <c r="M22" s="27"/>
      <c r="N22" s="27"/>
      <c r="O22" s="27"/>
      <c r="P22" s="27"/>
      <c r="Q22" s="28"/>
      <c r="R22" s="27"/>
      <c r="S22" s="29"/>
      <c r="T22" s="29"/>
      <c r="U22" s="27"/>
      <c r="V22" s="30" t="n">
        <f aca="true">IFERROR(DATEDIF(D22,TODAY(),"Y"),"")</f>
        <v>126</v>
      </c>
    </row>
    <row r="23" customFormat="false" ht="15" hidden="false" customHeight="true" outlineLevel="0" collapsed="false">
      <c r="A23" s="27"/>
      <c r="B23" s="27"/>
      <c r="C23" s="27"/>
      <c r="D23" s="28"/>
      <c r="E23" s="27"/>
      <c r="F23" s="27"/>
      <c r="G23" s="27"/>
      <c r="H23" s="27"/>
      <c r="I23" s="27"/>
      <c r="J23" s="27"/>
      <c r="K23" s="27"/>
      <c r="L23" s="28"/>
      <c r="M23" s="27"/>
      <c r="N23" s="27"/>
      <c r="O23" s="27"/>
      <c r="P23" s="27"/>
      <c r="Q23" s="28"/>
      <c r="R23" s="27"/>
      <c r="S23" s="29"/>
      <c r="T23" s="29"/>
      <c r="U23" s="27"/>
      <c r="V23" s="30" t="n">
        <f aca="true">IFERROR(DATEDIF(D23,TODAY(),"Y"),"")</f>
        <v>126</v>
      </c>
    </row>
    <row r="24" customFormat="false" ht="15" hidden="false" customHeight="true" outlineLevel="0" collapsed="false">
      <c r="A24" s="27"/>
      <c r="B24" s="27"/>
      <c r="C24" s="27"/>
      <c r="D24" s="28"/>
      <c r="E24" s="27"/>
      <c r="F24" s="27"/>
      <c r="G24" s="27"/>
      <c r="H24" s="27"/>
      <c r="I24" s="27"/>
      <c r="J24" s="27"/>
      <c r="K24" s="27"/>
      <c r="L24" s="28"/>
      <c r="M24" s="27"/>
      <c r="N24" s="27"/>
      <c r="O24" s="27"/>
      <c r="P24" s="27"/>
      <c r="Q24" s="28"/>
      <c r="R24" s="27"/>
      <c r="S24" s="29"/>
      <c r="T24" s="29"/>
      <c r="U24" s="27"/>
      <c r="V24" s="30" t="n">
        <f aca="true">IFERROR(DATEDIF(D24,TODAY(),"Y"),"")</f>
        <v>126</v>
      </c>
    </row>
    <row r="25" customFormat="false" ht="15" hidden="false" customHeight="true" outlineLevel="0" collapsed="false">
      <c r="A25" s="27"/>
      <c r="B25" s="27"/>
      <c r="C25" s="27"/>
      <c r="D25" s="28"/>
      <c r="E25" s="27"/>
      <c r="F25" s="27"/>
      <c r="G25" s="27"/>
      <c r="H25" s="27"/>
      <c r="I25" s="27"/>
      <c r="J25" s="27"/>
      <c r="K25" s="27"/>
      <c r="L25" s="28"/>
      <c r="M25" s="27"/>
      <c r="N25" s="27"/>
      <c r="O25" s="27"/>
      <c r="P25" s="27"/>
      <c r="Q25" s="28"/>
      <c r="R25" s="27"/>
      <c r="S25" s="29"/>
      <c r="T25" s="29"/>
      <c r="U25" s="27"/>
      <c r="V25" s="30" t="n">
        <f aca="true">IFERROR(DATEDIF(D25,TODAY(),"Y"),"")</f>
        <v>126</v>
      </c>
    </row>
    <row r="26" customFormat="false" ht="15" hidden="false" customHeight="true" outlineLevel="0" collapsed="false">
      <c r="A26" s="27"/>
      <c r="B26" s="27"/>
      <c r="C26" s="27"/>
      <c r="D26" s="28"/>
      <c r="E26" s="27"/>
      <c r="F26" s="27"/>
      <c r="G26" s="27"/>
      <c r="H26" s="27"/>
      <c r="I26" s="27"/>
      <c r="J26" s="27"/>
      <c r="K26" s="27"/>
      <c r="L26" s="28"/>
      <c r="M26" s="27"/>
      <c r="N26" s="27"/>
      <c r="O26" s="27"/>
      <c r="P26" s="27"/>
      <c r="Q26" s="28"/>
      <c r="R26" s="27"/>
      <c r="S26" s="29"/>
      <c r="T26" s="29"/>
      <c r="U26" s="27"/>
      <c r="V26" s="30" t="n">
        <f aca="true">IFERROR(DATEDIF(D26,TODAY(),"Y"),"")</f>
        <v>126</v>
      </c>
    </row>
    <row r="27" customFormat="false" ht="15" hidden="false" customHeight="true" outlineLevel="0" collapsed="false">
      <c r="A27" s="27"/>
      <c r="B27" s="27"/>
      <c r="C27" s="27"/>
      <c r="D27" s="28"/>
      <c r="E27" s="27"/>
      <c r="F27" s="27"/>
      <c r="G27" s="27"/>
      <c r="H27" s="27"/>
      <c r="I27" s="27"/>
      <c r="J27" s="27"/>
      <c r="K27" s="27"/>
      <c r="L27" s="28"/>
      <c r="M27" s="27"/>
      <c r="N27" s="27"/>
      <c r="O27" s="27"/>
      <c r="P27" s="27"/>
      <c r="Q27" s="28"/>
      <c r="R27" s="27"/>
      <c r="S27" s="29"/>
      <c r="T27" s="29"/>
      <c r="U27" s="27"/>
      <c r="V27" s="30" t="n">
        <f aca="true">IFERROR(DATEDIF(D27,TODAY(),"Y"),"")</f>
        <v>126</v>
      </c>
    </row>
    <row r="28" customFormat="false" ht="15" hidden="false" customHeight="true" outlineLevel="0" collapsed="false">
      <c r="A28" s="27"/>
      <c r="B28" s="27"/>
      <c r="C28" s="27"/>
      <c r="D28" s="28"/>
      <c r="E28" s="27"/>
      <c r="F28" s="27"/>
      <c r="G28" s="27"/>
      <c r="H28" s="27"/>
      <c r="I28" s="27"/>
      <c r="J28" s="27"/>
      <c r="K28" s="27"/>
      <c r="L28" s="28"/>
      <c r="M28" s="27"/>
      <c r="N28" s="27"/>
      <c r="O28" s="27"/>
      <c r="P28" s="27"/>
      <c r="Q28" s="28"/>
      <c r="R28" s="27"/>
      <c r="S28" s="29"/>
      <c r="T28" s="29"/>
      <c r="U28" s="27"/>
      <c r="V28" s="30" t="n">
        <f aca="true">IFERROR(DATEDIF(D28,TODAY(),"Y"),"")</f>
        <v>126</v>
      </c>
    </row>
    <row r="29" customFormat="false" ht="15" hidden="false" customHeight="true" outlineLevel="0" collapsed="false">
      <c r="A29" s="27"/>
      <c r="B29" s="27"/>
      <c r="C29" s="27"/>
      <c r="D29" s="28"/>
      <c r="E29" s="27"/>
      <c r="F29" s="27"/>
      <c r="G29" s="27"/>
      <c r="H29" s="27"/>
      <c r="I29" s="27"/>
      <c r="J29" s="27"/>
      <c r="K29" s="27"/>
      <c r="L29" s="28"/>
      <c r="M29" s="27"/>
      <c r="N29" s="27"/>
      <c r="O29" s="27"/>
      <c r="P29" s="27"/>
      <c r="Q29" s="28"/>
      <c r="R29" s="27"/>
      <c r="S29" s="29"/>
      <c r="T29" s="29"/>
      <c r="U29" s="27"/>
      <c r="V29" s="30" t="n">
        <f aca="true">IFERROR(DATEDIF(D29,TODAY(),"Y"),"")</f>
        <v>126</v>
      </c>
    </row>
    <row r="30" customFormat="false" ht="15" hidden="false" customHeight="true" outlineLevel="0" collapsed="false">
      <c r="A30" s="27"/>
      <c r="B30" s="27"/>
      <c r="C30" s="27"/>
      <c r="D30" s="28"/>
      <c r="E30" s="27"/>
      <c r="F30" s="27"/>
      <c r="G30" s="27"/>
      <c r="H30" s="27"/>
      <c r="I30" s="27"/>
      <c r="J30" s="27"/>
      <c r="K30" s="27"/>
      <c r="L30" s="28"/>
      <c r="M30" s="27"/>
      <c r="N30" s="27"/>
      <c r="O30" s="27"/>
      <c r="P30" s="27"/>
      <c r="Q30" s="28"/>
      <c r="R30" s="27"/>
      <c r="S30" s="29"/>
      <c r="T30" s="29"/>
      <c r="U30" s="27"/>
      <c r="V30" s="30" t="n">
        <f aca="true">IFERROR(DATEDIF(D30,TODAY(),"Y"),"")</f>
        <v>126</v>
      </c>
    </row>
    <row r="31" customFormat="false" ht="15" hidden="false" customHeight="true" outlineLevel="0" collapsed="false">
      <c r="A31" s="27"/>
      <c r="B31" s="27"/>
      <c r="C31" s="27"/>
      <c r="D31" s="28"/>
      <c r="E31" s="27"/>
      <c r="F31" s="27"/>
      <c r="G31" s="27"/>
      <c r="H31" s="27"/>
      <c r="I31" s="27"/>
      <c r="J31" s="27"/>
      <c r="K31" s="27"/>
      <c r="L31" s="28"/>
      <c r="M31" s="27"/>
      <c r="N31" s="27"/>
      <c r="O31" s="27"/>
      <c r="P31" s="27"/>
      <c r="Q31" s="28"/>
      <c r="R31" s="27"/>
      <c r="S31" s="29"/>
      <c r="T31" s="29"/>
      <c r="U31" s="27"/>
      <c r="V31" s="30" t="n">
        <f aca="true">IFERROR(DATEDIF(D31,TODAY(),"Y"),"")</f>
        <v>126</v>
      </c>
    </row>
    <row r="32" customFormat="false" ht="15" hidden="false" customHeight="true" outlineLevel="0" collapsed="false">
      <c r="A32" s="27"/>
      <c r="B32" s="27"/>
      <c r="C32" s="27"/>
      <c r="D32" s="28"/>
      <c r="E32" s="27"/>
      <c r="F32" s="27"/>
      <c r="G32" s="27"/>
      <c r="H32" s="27"/>
      <c r="I32" s="27"/>
      <c r="J32" s="27"/>
      <c r="K32" s="27"/>
      <c r="L32" s="28"/>
      <c r="M32" s="27"/>
      <c r="N32" s="27"/>
      <c r="O32" s="27"/>
      <c r="P32" s="27"/>
      <c r="Q32" s="28"/>
      <c r="R32" s="27"/>
      <c r="S32" s="29"/>
      <c r="T32" s="29"/>
      <c r="U32" s="27"/>
      <c r="V32" s="30" t="n">
        <f aca="true">IFERROR(DATEDIF(D32,TODAY(),"Y"),"")</f>
        <v>126</v>
      </c>
    </row>
    <row r="33" customFormat="false" ht="15" hidden="false" customHeight="true" outlineLevel="0" collapsed="false">
      <c r="A33" s="27"/>
      <c r="B33" s="27"/>
      <c r="C33" s="27"/>
      <c r="D33" s="28"/>
      <c r="E33" s="27"/>
      <c r="F33" s="27"/>
      <c r="G33" s="27"/>
      <c r="H33" s="27"/>
      <c r="I33" s="27"/>
      <c r="J33" s="27"/>
      <c r="K33" s="27"/>
      <c r="L33" s="28"/>
      <c r="M33" s="27"/>
      <c r="N33" s="27"/>
      <c r="O33" s="27"/>
      <c r="P33" s="27"/>
      <c r="Q33" s="28"/>
      <c r="R33" s="27"/>
      <c r="S33" s="29"/>
      <c r="T33" s="29"/>
      <c r="U33" s="27"/>
      <c r="V33" s="30" t="n">
        <f aca="true">IFERROR(DATEDIF(D33,TODAY(),"Y"),"")</f>
        <v>126</v>
      </c>
    </row>
    <row r="34" customFormat="false" ht="15" hidden="false" customHeight="true" outlineLevel="0" collapsed="false">
      <c r="A34" s="27"/>
      <c r="B34" s="27"/>
      <c r="C34" s="27"/>
      <c r="D34" s="28"/>
      <c r="E34" s="27"/>
      <c r="F34" s="27"/>
      <c r="G34" s="27"/>
      <c r="H34" s="27"/>
      <c r="I34" s="27"/>
      <c r="J34" s="27"/>
      <c r="K34" s="27"/>
      <c r="L34" s="28"/>
      <c r="M34" s="27"/>
      <c r="N34" s="27"/>
      <c r="O34" s="27"/>
      <c r="P34" s="27"/>
      <c r="Q34" s="28"/>
      <c r="R34" s="27"/>
      <c r="S34" s="29"/>
      <c r="T34" s="29"/>
      <c r="U34" s="27"/>
      <c r="V34" s="30" t="n">
        <f aca="true">IFERROR(DATEDIF(D34,TODAY(),"Y"),"")</f>
        <v>126</v>
      </c>
    </row>
    <row r="35" customFormat="false" ht="15" hidden="false" customHeight="true" outlineLevel="0" collapsed="false">
      <c r="A35" s="27"/>
      <c r="B35" s="27"/>
      <c r="C35" s="27"/>
      <c r="D35" s="28"/>
      <c r="E35" s="27"/>
      <c r="F35" s="27"/>
      <c r="G35" s="27"/>
      <c r="H35" s="27"/>
      <c r="I35" s="27"/>
      <c r="J35" s="27"/>
      <c r="K35" s="27"/>
      <c r="L35" s="28"/>
      <c r="M35" s="27"/>
      <c r="N35" s="27"/>
      <c r="O35" s="27"/>
      <c r="P35" s="27"/>
      <c r="Q35" s="28"/>
      <c r="R35" s="27"/>
      <c r="S35" s="29"/>
      <c r="T35" s="29"/>
      <c r="U35" s="27"/>
      <c r="V35" s="30" t="n">
        <f aca="true">IFERROR(DATEDIF(D35,TODAY(),"Y"),"")</f>
        <v>126</v>
      </c>
    </row>
    <row r="36" customFormat="false" ht="15" hidden="false" customHeight="true" outlineLevel="0" collapsed="false">
      <c r="A36" s="27"/>
      <c r="B36" s="27"/>
      <c r="C36" s="27"/>
      <c r="D36" s="28"/>
      <c r="E36" s="27"/>
      <c r="F36" s="27"/>
      <c r="G36" s="27"/>
      <c r="H36" s="27"/>
      <c r="I36" s="27"/>
      <c r="J36" s="27"/>
      <c r="K36" s="27"/>
      <c r="L36" s="28"/>
      <c r="M36" s="27"/>
      <c r="N36" s="27"/>
      <c r="O36" s="27"/>
      <c r="P36" s="27"/>
      <c r="Q36" s="28"/>
      <c r="R36" s="27"/>
      <c r="S36" s="29"/>
      <c r="T36" s="29"/>
      <c r="U36" s="27"/>
      <c r="V36" s="30" t="n">
        <f aca="true">IFERROR(DATEDIF(D36,TODAY(),"Y"),"")</f>
        <v>126</v>
      </c>
    </row>
    <row r="37" customFormat="false" ht="15" hidden="false" customHeight="true" outlineLevel="0" collapsed="false">
      <c r="A37" s="27"/>
      <c r="B37" s="27"/>
      <c r="C37" s="27"/>
      <c r="D37" s="28"/>
      <c r="E37" s="27"/>
      <c r="F37" s="27"/>
      <c r="G37" s="27"/>
      <c r="H37" s="27"/>
      <c r="I37" s="27"/>
      <c r="J37" s="27"/>
      <c r="K37" s="27"/>
      <c r="L37" s="28"/>
      <c r="M37" s="27"/>
      <c r="N37" s="27"/>
      <c r="O37" s="27"/>
      <c r="P37" s="27"/>
      <c r="Q37" s="28"/>
      <c r="R37" s="27"/>
      <c r="S37" s="29"/>
      <c r="T37" s="29"/>
      <c r="U37" s="27"/>
      <c r="V37" s="30" t="n">
        <f aca="true">IFERROR(DATEDIF(D37,TODAY(),"Y"),"")</f>
        <v>126</v>
      </c>
    </row>
    <row r="38" customFormat="false" ht="15" hidden="false" customHeight="true" outlineLevel="0" collapsed="false">
      <c r="A38" s="27"/>
      <c r="B38" s="27"/>
      <c r="C38" s="27"/>
      <c r="D38" s="28"/>
      <c r="E38" s="27"/>
      <c r="F38" s="27"/>
      <c r="G38" s="27"/>
      <c r="H38" s="27"/>
      <c r="I38" s="27"/>
      <c r="J38" s="27"/>
      <c r="K38" s="27"/>
      <c r="L38" s="28"/>
      <c r="M38" s="27"/>
      <c r="N38" s="27"/>
      <c r="O38" s="27"/>
      <c r="P38" s="27"/>
      <c r="Q38" s="28"/>
      <c r="R38" s="27"/>
      <c r="S38" s="29"/>
      <c r="T38" s="29"/>
      <c r="U38" s="27"/>
      <c r="V38" s="30" t="n">
        <f aca="true">IFERROR(DATEDIF(D38,TODAY(),"Y"),"")</f>
        <v>126</v>
      </c>
    </row>
    <row r="39" customFormat="false" ht="15" hidden="false" customHeight="true" outlineLevel="0" collapsed="false">
      <c r="A39" s="27"/>
      <c r="B39" s="27"/>
      <c r="C39" s="27"/>
      <c r="D39" s="28"/>
      <c r="E39" s="27"/>
      <c r="F39" s="27"/>
      <c r="G39" s="27"/>
      <c r="H39" s="27"/>
      <c r="I39" s="27"/>
      <c r="J39" s="27"/>
      <c r="K39" s="27"/>
      <c r="L39" s="28"/>
      <c r="M39" s="27"/>
      <c r="N39" s="27"/>
      <c r="O39" s="27"/>
      <c r="P39" s="27"/>
      <c r="Q39" s="28"/>
      <c r="R39" s="27"/>
      <c r="S39" s="29"/>
      <c r="T39" s="29"/>
      <c r="U39" s="27"/>
      <c r="V39" s="30" t="n">
        <f aca="true">IFERROR(DATEDIF(D39,TODAY(),"Y"),"")</f>
        <v>126</v>
      </c>
    </row>
    <row r="40" customFormat="false" ht="15" hidden="false" customHeight="true" outlineLevel="0" collapsed="false">
      <c r="A40" s="27"/>
      <c r="B40" s="27"/>
      <c r="C40" s="27"/>
      <c r="D40" s="28"/>
      <c r="E40" s="27"/>
      <c r="F40" s="27"/>
      <c r="G40" s="27"/>
      <c r="H40" s="27"/>
      <c r="I40" s="27"/>
      <c r="J40" s="27"/>
      <c r="K40" s="27"/>
      <c r="L40" s="28"/>
      <c r="M40" s="27"/>
      <c r="N40" s="27"/>
      <c r="O40" s="27"/>
      <c r="P40" s="27"/>
      <c r="Q40" s="28"/>
      <c r="R40" s="27"/>
      <c r="S40" s="29"/>
      <c r="T40" s="29"/>
      <c r="U40" s="27"/>
      <c r="V40" s="30" t="n">
        <f aca="true">IFERROR(DATEDIF(D40,TODAY(),"Y"),"")</f>
        <v>126</v>
      </c>
    </row>
    <row r="41" customFormat="false" ht="15" hidden="false" customHeight="true" outlineLevel="0" collapsed="false">
      <c r="A41" s="27"/>
      <c r="B41" s="27"/>
      <c r="C41" s="27"/>
      <c r="D41" s="28"/>
      <c r="E41" s="27"/>
      <c r="F41" s="27"/>
      <c r="G41" s="27"/>
      <c r="H41" s="27"/>
      <c r="I41" s="27"/>
      <c r="J41" s="27"/>
      <c r="K41" s="27"/>
      <c r="L41" s="28"/>
      <c r="M41" s="27"/>
      <c r="N41" s="27"/>
      <c r="O41" s="27"/>
      <c r="P41" s="27"/>
      <c r="Q41" s="28"/>
      <c r="R41" s="27"/>
      <c r="S41" s="29"/>
      <c r="T41" s="29"/>
      <c r="U41" s="27"/>
      <c r="V41" s="30" t="n">
        <f aca="true">IFERROR(DATEDIF(D41,TODAY(),"Y"),"")</f>
        <v>126</v>
      </c>
    </row>
    <row r="42" customFormat="false" ht="15" hidden="false" customHeight="true" outlineLevel="0" collapsed="false">
      <c r="A42" s="27"/>
      <c r="B42" s="27"/>
      <c r="C42" s="27"/>
      <c r="D42" s="28"/>
      <c r="E42" s="27"/>
      <c r="F42" s="27"/>
      <c r="G42" s="27"/>
      <c r="H42" s="27"/>
      <c r="I42" s="27"/>
      <c r="J42" s="27"/>
      <c r="K42" s="27"/>
      <c r="L42" s="28"/>
      <c r="M42" s="27"/>
      <c r="N42" s="27"/>
      <c r="O42" s="27"/>
      <c r="P42" s="27"/>
      <c r="Q42" s="28"/>
      <c r="R42" s="27"/>
      <c r="S42" s="29"/>
      <c r="T42" s="29"/>
      <c r="U42" s="27"/>
      <c r="V42" s="30" t="n">
        <f aca="true">IFERROR(DATEDIF(D42,TODAY(),"Y"),"")</f>
        <v>126</v>
      </c>
    </row>
    <row r="43" customFormat="false" ht="15" hidden="false" customHeight="true" outlineLevel="0" collapsed="false">
      <c r="A43" s="27"/>
      <c r="B43" s="27"/>
      <c r="C43" s="27"/>
      <c r="D43" s="28"/>
      <c r="E43" s="27"/>
      <c r="F43" s="27"/>
      <c r="G43" s="27"/>
      <c r="H43" s="27"/>
      <c r="I43" s="27"/>
      <c r="J43" s="27"/>
      <c r="K43" s="27"/>
      <c r="L43" s="28"/>
      <c r="M43" s="27"/>
      <c r="N43" s="27"/>
      <c r="O43" s="27"/>
      <c r="P43" s="27"/>
      <c r="Q43" s="28"/>
      <c r="R43" s="27"/>
      <c r="S43" s="29"/>
      <c r="T43" s="29"/>
      <c r="U43" s="27"/>
      <c r="V43" s="30" t="n">
        <f aca="true">IFERROR(DATEDIF(D43,TODAY(),"Y"),"")</f>
        <v>126</v>
      </c>
    </row>
    <row r="44" customFormat="false" ht="15" hidden="false" customHeight="true" outlineLevel="0" collapsed="false">
      <c r="A44" s="27"/>
      <c r="B44" s="27"/>
      <c r="C44" s="27"/>
      <c r="D44" s="28"/>
      <c r="E44" s="27"/>
      <c r="F44" s="27"/>
      <c r="G44" s="27"/>
      <c r="H44" s="27"/>
      <c r="I44" s="27"/>
      <c r="J44" s="27"/>
      <c r="K44" s="27"/>
      <c r="L44" s="28"/>
      <c r="M44" s="27"/>
      <c r="N44" s="27"/>
      <c r="O44" s="27"/>
      <c r="P44" s="27"/>
      <c r="Q44" s="28"/>
      <c r="R44" s="27"/>
      <c r="S44" s="29"/>
      <c r="T44" s="29"/>
      <c r="U44" s="27"/>
      <c r="V44" s="30" t="n">
        <f aca="true">IFERROR(DATEDIF(D44,TODAY(),"Y"),"")</f>
        <v>126</v>
      </c>
    </row>
    <row r="45" customFormat="false" ht="15" hidden="false" customHeight="true" outlineLevel="0" collapsed="false">
      <c r="A45" s="27"/>
      <c r="B45" s="27"/>
      <c r="C45" s="27"/>
      <c r="D45" s="28"/>
      <c r="E45" s="27"/>
      <c r="F45" s="27"/>
      <c r="G45" s="27"/>
      <c r="H45" s="27"/>
      <c r="I45" s="27"/>
      <c r="J45" s="27"/>
      <c r="K45" s="27"/>
      <c r="L45" s="28"/>
      <c r="M45" s="27"/>
      <c r="N45" s="27"/>
      <c r="O45" s="27"/>
      <c r="P45" s="27"/>
      <c r="Q45" s="28"/>
      <c r="R45" s="27"/>
      <c r="S45" s="29"/>
      <c r="T45" s="29"/>
      <c r="U45" s="27"/>
      <c r="V45" s="30" t="n">
        <f aca="true">IFERROR(DATEDIF(D45,TODAY(),"Y"),"")</f>
        <v>126</v>
      </c>
    </row>
    <row r="46" customFormat="false" ht="15" hidden="false" customHeight="true" outlineLevel="0" collapsed="false">
      <c r="A46" s="27"/>
      <c r="B46" s="27"/>
      <c r="C46" s="27"/>
      <c r="D46" s="28"/>
      <c r="E46" s="27"/>
      <c r="F46" s="27"/>
      <c r="G46" s="27"/>
      <c r="H46" s="27"/>
      <c r="I46" s="27"/>
      <c r="J46" s="27"/>
      <c r="K46" s="27"/>
      <c r="L46" s="28"/>
      <c r="M46" s="27"/>
      <c r="N46" s="27"/>
      <c r="O46" s="27"/>
      <c r="P46" s="27"/>
      <c r="Q46" s="28"/>
      <c r="R46" s="27"/>
      <c r="S46" s="29"/>
      <c r="T46" s="29"/>
      <c r="U46" s="27"/>
      <c r="V46" s="30" t="n">
        <f aca="true">IFERROR(DATEDIF(D46,TODAY(),"Y"),"")</f>
        <v>126</v>
      </c>
    </row>
    <row r="47" customFormat="false" ht="15" hidden="false" customHeight="true" outlineLevel="0" collapsed="false">
      <c r="A47" s="27"/>
      <c r="B47" s="27"/>
      <c r="C47" s="27"/>
      <c r="D47" s="28"/>
      <c r="E47" s="27"/>
      <c r="F47" s="27"/>
      <c r="G47" s="27"/>
      <c r="H47" s="27"/>
      <c r="I47" s="27"/>
      <c r="J47" s="27"/>
      <c r="K47" s="27"/>
      <c r="L47" s="28"/>
      <c r="M47" s="27"/>
      <c r="N47" s="27"/>
      <c r="O47" s="27"/>
      <c r="P47" s="27"/>
      <c r="Q47" s="28"/>
      <c r="R47" s="27"/>
      <c r="S47" s="29"/>
      <c r="T47" s="29"/>
      <c r="U47" s="27"/>
      <c r="V47" s="30" t="n">
        <f aca="true">IFERROR(DATEDIF(D47,TODAY(),"Y"),"")</f>
        <v>126</v>
      </c>
    </row>
    <row r="48" customFormat="false" ht="15" hidden="false" customHeight="true" outlineLevel="0" collapsed="false">
      <c r="A48" s="27"/>
      <c r="B48" s="27"/>
      <c r="C48" s="27"/>
      <c r="D48" s="28"/>
      <c r="E48" s="27"/>
      <c r="F48" s="27"/>
      <c r="G48" s="27"/>
      <c r="H48" s="27"/>
      <c r="I48" s="27"/>
      <c r="J48" s="27"/>
      <c r="K48" s="27"/>
      <c r="L48" s="28"/>
      <c r="M48" s="27"/>
      <c r="N48" s="27"/>
      <c r="O48" s="27"/>
      <c r="P48" s="27"/>
      <c r="Q48" s="28"/>
      <c r="R48" s="27"/>
      <c r="S48" s="29"/>
      <c r="T48" s="29"/>
      <c r="U48" s="27"/>
      <c r="V48" s="30" t="n">
        <f aca="true">IFERROR(DATEDIF(D48,TODAY(),"Y"),"")</f>
        <v>126</v>
      </c>
    </row>
    <row r="49" customFormat="false" ht="15" hidden="false" customHeight="true" outlineLevel="0" collapsed="false">
      <c r="A49" s="27"/>
      <c r="B49" s="27"/>
      <c r="C49" s="27"/>
      <c r="D49" s="28"/>
      <c r="E49" s="27"/>
      <c r="F49" s="27"/>
      <c r="G49" s="27"/>
      <c r="H49" s="27"/>
      <c r="I49" s="27"/>
      <c r="J49" s="27"/>
      <c r="K49" s="27"/>
      <c r="L49" s="28"/>
      <c r="M49" s="27"/>
      <c r="N49" s="27"/>
      <c r="O49" s="27"/>
      <c r="P49" s="27"/>
      <c r="Q49" s="28"/>
      <c r="R49" s="27"/>
      <c r="S49" s="29"/>
      <c r="T49" s="29"/>
      <c r="U49" s="27"/>
      <c r="V49" s="30" t="n">
        <f aca="true">IFERROR(DATEDIF(D49,TODAY(),"Y"),"")</f>
        <v>126</v>
      </c>
    </row>
    <row r="50" customFormat="false" ht="15" hidden="false" customHeight="true" outlineLevel="0" collapsed="false">
      <c r="A50" s="27"/>
      <c r="B50" s="27"/>
      <c r="C50" s="27"/>
      <c r="D50" s="28"/>
      <c r="E50" s="27"/>
      <c r="F50" s="27"/>
      <c r="G50" s="27"/>
      <c r="H50" s="27"/>
      <c r="I50" s="27"/>
      <c r="J50" s="27"/>
      <c r="K50" s="27"/>
      <c r="L50" s="28"/>
      <c r="M50" s="27"/>
      <c r="N50" s="27"/>
      <c r="O50" s="27"/>
      <c r="P50" s="27"/>
      <c r="Q50" s="28"/>
      <c r="R50" s="27"/>
      <c r="S50" s="29"/>
      <c r="T50" s="29"/>
      <c r="U50" s="27"/>
      <c r="V50" s="30" t="n">
        <f aca="true">IFERROR(DATEDIF(D50,TODAY(),"Y"),"")</f>
        <v>126</v>
      </c>
    </row>
    <row r="51" customFormat="false" ht="15" hidden="false" customHeight="true" outlineLevel="0" collapsed="false">
      <c r="A51" s="27"/>
      <c r="B51" s="27"/>
      <c r="C51" s="27"/>
      <c r="D51" s="28"/>
      <c r="E51" s="27"/>
      <c r="F51" s="27"/>
      <c r="G51" s="27"/>
      <c r="H51" s="27"/>
      <c r="I51" s="27"/>
      <c r="J51" s="27"/>
      <c r="K51" s="27"/>
      <c r="L51" s="28"/>
      <c r="M51" s="27"/>
      <c r="N51" s="27"/>
      <c r="O51" s="27"/>
      <c r="P51" s="27"/>
      <c r="Q51" s="28"/>
      <c r="R51" s="27"/>
      <c r="S51" s="29"/>
      <c r="T51" s="29"/>
      <c r="U51" s="27"/>
      <c r="V51" s="30" t="n">
        <f aca="true">IFERROR(DATEDIF(D51,TODAY(),"Y"),"")</f>
        <v>126</v>
      </c>
    </row>
    <row r="52" customFormat="false" ht="15" hidden="false" customHeight="true" outlineLevel="0" collapsed="false">
      <c r="A52" s="27"/>
      <c r="B52" s="27"/>
      <c r="C52" s="27"/>
      <c r="D52" s="28"/>
      <c r="E52" s="27"/>
      <c r="F52" s="27"/>
      <c r="G52" s="27"/>
      <c r="H52" s="27"/>
      <c r="I52" s="27"/>
      <c r="J52" s="27"/>
      <c r="K52" s="27"/>
      <c r="L52" s="28"/>
      <c r="M52" s="27"/>
      <c r="N52" s="27"/>
      <c r="O52" s="27"/>
      <c r="P52" s="27"/>
      <c r="Q52" s="28"/>
      <c r="R52" s="27"/>
      <c r="S52" s="29"/>
      <c r="T52" s="29"/>
      <c r="U52" s="27"/>
      <c r="V52" s="30" t="n">
        <f aca="true">IFERROR(DATEDIF(D52,TODAY(),"Y"),"")</f>
        <v>126</v>
      </c>
    </row>
    <row r="54" customFormat="false" ht="15" hidden="false" customHeight="true" outlineLevel="0" collapsed="false">
      <c r="A54" s="31" t="s">
        <v>108</v>
      </c>
    </row>
    <row r="55" customFormat="false" ht="15" hidden="false" customHeight="true" outlineLevel="0" collapsed="false">
      <c r="A55" s="32" t="str">
        <f aca="false">IF(COUNTA(A3:A52)=0,"Next ID: UN01","Next ID: UN"&amp;TEXT(COUNTA(A3:A52)+1,"00"))</f>
        <v>Next ID: UN01</v>
      </c>
    </row>
  </sheetData>
  <sheetProtection sheet="true" password="dd98" formatColumns="false" formatRows="false" sort="false" autoFilter="false"/>
  <mergeCells count="1">
    <mergeCell ref="A1:V1"/>
  </mergeCells>
  <conditionalFormatting sqref="A3:M102">
    <cfRule type="expression" priority="2" aboveAverage="0" equalAverage="0" bottom="0" percent="0" rank="0" text="" dxfId="1">
      <formula>$L3="Terminated"</formula>
    </cfRule>
    <cfRule type="expression" priority="3" aboveAverage="0" equalAverage="0" bottom="0" percent="0" rank="0" text="" dxfId="2">
      <formula>$L3="On Leave"</formula>
    </cfRule>
  </conditionalFormatting>
  <conditionalFormatting sqref="E3:E12">
    <cfRule type="expression" priority="4" aboveAverage="0" equalAverage="0" bottom="0" percent="0" rank="0" text="" dxfId="3">
      <formula>COUNTIF($E$3:$E$12,E3)&gt;1</formula>
    </cfRule>
  </conditionalFormatting>
  <conditionalFormatting sqref="F3:F12">
    <cfRule type="expression" priority="5" aboveAverage="0" equalAverage="0" bottom="0" percent="0" rank="0" text="" dxfId="3">
      <formula>COUNTIF($F$3:$F$12,F3)&gt;1</formula>
    </cfRule>
  </conditionalFormatting>
  <conditionalFormatting sqref="S3:S52">
    <cfRule type="expression" priority="6" aboveAverage="0" equalAverage="0" bottom="0" percent="0" rank="0" text="" dxfId="4">
      <formula>AND(S3&lt;&gt;"",S3&lt;'SET Settings'!$B$78,R3="Hourly")</formula>
    </cfRule>
  </conditionalFormatting>
  <conditionalFormatting sqref="A3:V52">
    <cfRule type="expression" priority="7" aboveAverage="0" equalAverage="0" bottom="0" percent="0" rank="0" text="" dxfId="5">
      <formula>$A3=""</formula>
    </cfRule>
  </conditionalFormatting>
  <dataValidations count="9">
    <dataValidation allowBlank="true" errorStyle="stop" operator="between" showDropDown="false" showErrorMessage="false" showInputMessage="false" sqref="E3:E52" type="list">
      <formula1>"Male,Female,Non-Binary,Prefer Not to Say"</formula1>
      <formula2>0</formula2>
    </dataValidation>
    <dataValidation allowBlank="true" errorStyle="stop" operator="between" showDropDown="false" showErrorMessage="false" showInputMessage="false" sqref="M3:M52" type="list">
      <formula1>Departments</formula1>
      <formula2>0</formula2>
    </dataValidation>
    <dataValidation allowBlank="true" errorStyle="stop" operator="between" showDropDown="false" showErrorMessage="false" showInputMessage="false" sqref="N3:N52" type="list">
      <formula1>JobTitles</formula1>
      <formula2>0</formula2>
    </dataValidation>
    <dataValidation allowBlank="true" errorStyle="stop" operator="between" prompt="Permanent, Fixed-Term, Freelance, Internship, Probation or Casual" promptTitle="Contract Type" showDropDown="false" showErrorMessage="false" showInputMessage="true" sqref="P3:P52" type="list">
      <formula1>ContractTypes</formula1>
      <formula2>0</formula2>
    </dataValidation>
    <dataValidation allowBlank="true" errorStyle="stop" operator="between" prompt="Hourly = paid per hour worked. Monthly = fixed salary." promptTitle="Pay Type" showDropDown="false" showErrorMessage="false" showInputMessage="true" sqref="R3:R52" type="list">
      <formula1>PayTypes</formula1>
      <formula2>0</formula2>
    </dataValidation>
    <dataValidation allowBlank="true" errorStyle="stop" operator="between" showDropDown="false" showErrorMessage="false" showInputMessage="false" sqref="U3:U52" type="list">
      <formula1>EmpStatuses</formula1>
      <formula2>0</formula2>
    </dataValidation>
    <dataValidation allowBlank="true" error="DOB must be in the past" errorStyle="stop" operator="lessThan" prompt="Date of birth (cannot be in the future)" promptTitle="Date of Birth" showDropDown="false" showErrorMessage="true" showInputMessage="true" sqref="D3:D52" type="date">
      <formula1>TODAY()</formula1>
      <formula2>0</formula2>
    </dataValidation>
    <dataValidation allowBlank="true" error="Namibian ID must be 11 digits" errorStyle="warning" operator="equal" prompt="Namibian ID = 11 digits. First 6 = YYMMDD (birth date)" promptTitle="ID Number" showDropDown="false" showErrorMessage="true" showInputMessage="true" sqref="C3:C52" type="textLength">
      <formula1>11</formula1>
      <formula2>0</formula2>
    </dataValidation>
    <dataValidation allowBlank="true" error="Email must contain @" errorStyle="warning" operator="between" prompt="Valid email address (must contain @)" promptTitle="Email" showDropDown="false" showErrorMessage="true" showInputMessage="true" sqref="I3:I52" type="custom">
      <formula1>OR(I3="",ISNUMBER(SEARCH("@",I3)))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4"/>
    <col collapsed="false" customWidth="true" hidden="false" outlineLevel="0" max="8" min="3" style="1" width="10"/>
    <col collapsed="false" customWidth="true" hidden="false" outlineLevel="0" max="9" min="9" style="1" width="11"/>
    <col collapsed="false" customWidth="true" hidden="false" outlineLevel="0" max="10" min="10" style="1" width="12"/>
    <col collapsed="false" customWidth="true" hidden="false" outlineLevel="0" max="12" min="11" style="1" width="10"/>
    <col collapsed="false" customWidth="true" hidden="false" outlineLevel="0" max="15" min="13" style="1" width="13"/>
    <col collapsed="false" customWidth="true" hidden="false" outlineLevel="0" max="20" min="16" style="1" width="12"/>
    <col collapsed="false" customWidth="true" hidden="false" outlineLevel="0" max="21" min="21" style="1" width="14"/>
    <col collapsed="false" customWidth="true" hidden="false" outlineLevel="0" max="27" min="22" style="1" width="12"/>
    <col collapsed="false" customWidth="true" hidden="false" outlineLevel="0" max="28" min="28" style="1" width="13"/>
    <col collapsed="false" customWidth="true" hidden="false" outlineLevel="0" max="31" min="29" style="1" width="14"/>
    <col collapsed="false" customWidth="true" hidden="false" outlineLevel="0" max="32" min="32" style="1" width="16"/>
    <col collapsed="false" customWidth="true" hidden="false" outlineLevel="0" max="33" min="33" style="1" width="18"/>
  </cols>
  <sheetData>
    <row r="1" customFormat="false" ht="30" hidden="false" customHeight="true" outlineLevel="0" collapsed="false">
      <c r="A1" s="25" t="s">
        <v>109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11"/>
      <c r="AG1" s="11"/>
      <c r="AH1" s="11"/>
      <c r="AI1" s="11"/>
      <c r="AJ1" s="11"/>
      <c r="AK1" s="11"/>
      <c r="AL1" s="11"/>
      <c r="AM1" s="11"/>
      <c r="AN1" s="11"/>
    </row>
    <row r="2" customFormat="false" ht="18" hidden="false" customHeight="true" outlineLevel="0" collapsed="false">
      <c r="A2" s="33" t="s">
        <v>110</v>
      </c>
      <c r="B2" s="33"/>
      <c r="C2" s="33"/>
      <c r="D2" s="33"/>
      <c r="E2" s="34" t="s">
        <v>111</v>
      </c>
      <c r="F2" s="34"/>
      <c r="G2" s="34"/>
      <c r="H2" s="34"/>
      <c r="I2" s="34"/>
      <c r="J2" s="34"/>
      <c r="K2" s="34"/>
      <c r="L2" s="35" t="s">
        <v>112</v>
      </c>
      <c r="M2" s="35"/>
      <c r="N2" s="35"/>
      <c r="O2" s="35"/>
      <c r="P2" s="35"/>
      <c r="Q2" s="35"/>
      <c r="R2" s="35"/>
      <c r="S2" s="35"/>
      <c r="T2" s="35"/>
      <c r="U2" s="36" t="s">
        <v>113</v>
      </c>
      <c r="V2" s="37" t="s">
        <v>114</v>
      </c>
      <c r="W2" s="37"/>
      <c r="X2" s="37"/>
      <c r="Y2" s="37"/>
      <c r="Z2" s="37"/>
      <c r="AA2" s="37"/>
      <c r="AB2" s="37" t="s">
        <v>115</v>
      </c>
      <c r="AC2" s="38" t="s">
        <v>116</v>
      </c>
      <c r="AD2" s="39" t="s">
        <v>117</v>
      </c>
      <c r="AE2" s="39"/>
      <c r="AF2" s="11"/>
      <c r="AG2" s="11"/>
      <c r="AH2" s="11"/>
      <c r="AI2" s="11"/>
      <c r="AJ2" s="11"/>
      <c r="AK2" s="11"/>
      <c r="AL2" s="11"/>
      <c r="AM2" s="11"/>
      <c r="AN2" s="11"/>
    </row>
    <row r="3" customFormat="false" ht="19.5" hidden="false" customHeight="true" outlineLevel="0" collapsed="false">
      <c r="A3" s="26" t="s">
        <v>74</v>
      </c>
      <c r="B3" s="26" t="s">
        <v>75</v>
      </c>
      <c r="C3" s="26" t="s">
        <v>103</v>
      </c>
      <c r="D3" s="26" t="s">
        <v>118</v>
      </c>
      <c r="E3" s="26" t="s">
        <v>119</v>
      </c>
      <c r="F3" s="26" t="s">
        <v>56</v>
      </c>
      <c r="G3" s="26" t="s">
        <v>120</v>
      </c>
      <c r="H3" s="26" t="s">
        <v>121</v>
      </c>
      <c r="I3" s="26" t="s">
        <v>122</v>
      </c>
      <c r="J3" s="26" t="s">
        <v>123</v>
      </c>
      <c r="K3" s="26" t="s">
        <v>124</v>
      </c>
      <c r="L3" s="26" t="s">
        <v>125</v>
      </c>
      <c r="M3" s="26" t="s">
        <v>126</v>
      </c>
      <c r="N3" s="26" t="s">
        <v>127</v>
      </c>
      <c r="O3" s="26" t="s">
        <v>128</v>
      </c>
      <c r="P3" s="26" t="s">
        <v>129</v>
      </c>
      <c r="Q3" s="26" t="s">
        <v>130</v>
      </c>
      <c r="R3" s="26" t="s">
        <v>131</v>
      </c>
      <c r="S3" s="26" t="s">
        <v>132</v>
      </c>
      <c r="T3" s="26" t="s">
        <v>133</v>
      </c>
      <c r="U3" s="26" t="s">
        <v>134</v>
      </c>
      <c r="V3" s="26" t="s">
        <v>135</v>
      </c>
      <c r="W3" s="26" t="s">
        <v>136</v>
      </c>
      <c r="X3" s="26" t="s">
        <v>137</v>
      </c>
      <c r="Y3" s="26" t="s">
        <v>138</v>
      </c>
      <c r="Z3" s="26" t="s">
        <v>139</v>
      </c>
      <c r="AA3" s="26" t="s">
        <v>140</v>
      </c>
      <c r="AB3" s="26" t="s">
        <v>141</v>
      </c>
      <c r="AC3" s="26" t="s">
        <v>142</v>
      </c>
      <c r="AD3" s="26" t="s">
        <v>143</v>
      </c>
      <c r="AE3" s="26" t="s">
        <v>144</v>
      </c>
      <c r="AF3" s="40" t="s">
        <v>76</v>
      </c>
      <c r="AG3" s="40" t="s">
        <v>145</v>
      </c>
      <c r="AH3" s="11"/>
      <c r="AI3" s="11"/>
      <c r="AJ3" s="11"/>
      <c r="AK3" s="11"/>
      <c r="AL3" s="11"/>
      <c r="AM3" s="11"/>
      <c r="AN3" s="11"/>
    </row>
    <row r="4" customFormat="false" ht="15.75" hidden="false" customHeight="true" outlineLevel="0" collapsed="false">
      <c r="A4" s="41"/>
      <c r="B4" s="42" t="str">
        <f aca="false">IF(A4="","",IFERROR(VLOOKUP(A4,'EMP Employees'!$A:$V,2,0),""))</f>
        <v/>
      </c>
      <c r="C4" s="42" t="str">
        <f aca="false">IF(A4="","",IFERROR(VLOOKUP(A4,'EMP Employees'!$A:$V,18,0),""))</f>
        <v/>
      </c>
      <c r="D4" s="43" t="str">
        <f aca="false">IF(A4="","",IFERROR(IF(C4="Hourly",VLOOKUP(A4,'EMP Employees'!$A:$V,19,0),IF(C4="Monthly",VLOOKUP(A4,'EMP Employees'!$A:$V,20,0)/'SET Settings'!$B$87,0)),0))</f>
        <v/>
      </c>
      <c r="E4" s="44"/>
      <c r="F4" s="44"/>
      <c r="G4" s="44"/>
      <c r="H4" s="44"/>
      <c r="I4" s="44"/>
      <c r="J4" s="44"/>
      <c r="K4" s="44"/>
      <c r="L4" s="43" t="str">
        <f aca="false">IF($A4="","",IFERROR(IF(C4="Monthly",VLOOKUP(A4,'EMP Employees'!$A:$V,20,0),0),0))</f>
        <v/>
      </c>
      <c r="M4" s="43" t="str">
        <f aca="false">IF($A4="","",IFERROR(E4*D4,0))</f>
        <v/>
      </c>
      <c r="N4" s="43" t="str">
        <f aca="false">IF($A4="","",IFERROR(F4*D4*'SET Settings'!$B$70,0))</f>
        <v/>
      </c>
      <c r="O4" s="43" t="str">
        <f aca="false">IF($A4="","",IFERROR(G4*D4*(1+'SET Settings'!$B$71),0))</f>
        <v/>
      </c>
      <c r="P4" s="43" t="str">
        <f aca="false">IF($A4="","",IFERROR(H4*D4*'SET Settings'!$B$72,0))</f>
        <v/>
      </c>
      <c r="Q4" s="43" t="str">
        <f aca="false">IF($A4="","",IFERROR(I4*D4*'SET Settings'!$B$73,0))</f>
        <v/>
      </c>
      <c r="R4" s="43" t="str">
        <f aca="false">IF($A4="","",IFERROR(J4*D4*'SET Settings'!$B$74,0))</f>
        <v/>
      </c>
      <c r="S4" s="45"/>
      <c r="T4" s="45"/>
      <c r="U4" s="46" t="str">
        <f aca="false">IF($A4="","",IFERROR(L4+M4+N4+O4+P4+Q4+R4+S4+T4,0))</f>
        <v/>
      </c>
      <c r="V4" s="43" t="str">
        <f aca="false">IF($A4="","",ROUND(IFERROR(MAX(0,(INDEX('SET Settings'!$D$6:$D$12,MATCH(U4*12,'SET Settings'!$A$6:$A$12,1))+(U4*12-INDEX('SET Settings'!$A$6:$A$12,MATCH(U4*12,'SET Settings'!$A$6:$A$12,1)))*INDEX('SET Settings'!$C$6:$C$12,MATCH(U4*12,'SET Settings'!$A$6:$A$12,1))/100))/12,0),2))</f>
        <v/>
      </c>
      <c r="W4" s="43" t="str">
        <f aca="false">IF($A4="","",IFERROR(MIN(U4*'SET Settings'!$B$16,'SET Settings'!$B$18),0))</f>
        <v/>
      </c>
      <c r="X4" s="45"/>
      <c r="Y4" s="45"/>
      <c r="Z4" s="45"/>
      <c r="AA4" s="45"/>
      <c r="AB4" s="43" t="str">
        <f aca="false">IF($A4="","",IFERROR(V4+W4+X4+Y4+Z4+AA4,0))</f>
        <v/>
      </c>
      <c r="AC4" s="47" t="str">
        <f aca="false">IF($A4="","",IFERROR(U4-AB4,0))</f>
        <v/>
      </c>
      <c r="AD4" s="43" t="str">
        <f aca="false">IF($A4="","",IFERROR(VLOOKUP(A4,'HIST Monthly History'!$A:$O,15,0),0))</f>
        <v/>
      </c>
      <c r="AE4" s="43" t="str">
        <f aca="true">IF($A4="","",IFERROR(V4*MONTH(TODAY()),0))</f>
        <v/>
      </c>
      <c r="AF4" s="48" t="str">
        <f aca="false">IF(A4="","",IFERROR(VLOOKUP(A4,'EMP Employees'!$A:$V,13,0),""))</f>
        <v/>
      </c>
      <c r="AG4" s="48" t="str">
        <f aca="false">IF(A4="","",IFERROR(VLOOKUP(A4,'EMP Employees'!$A:$V,14,0),""))</f>
        <v/>
      </c>
      <c r="AH4" s="11"/>
      <c r="AI4" s="11"/>
      <c r="AJ4" s="11"/>
      <c r="AK4" s="11"/>
      <c r="AL4" s="11"/>
      <c r="AM4" s="11"/>
      <c r="AN4" s="11"/>
    </row>
    <row r="5" customFormat="false" ht="15.75" hidden="false" customHeight="true" outlineLevel="0" collapsed="false">
      <c r="A5" s="41"/>
      <c r="B5" s="42" t="str">
        <f aca="false">IF(A5="","",IFERROR(VLOOKUP(A5,'EMP Employees'!$A:$V,2,0),""))</f>
        <v/>
      </c>
      <c r="C5" s="42" t="str">
        <f aca="false">IF(A5="","",IFERROR(VLOOKUP(A5,'EMP Employees'!$A:$V,18,0),""))</f>
        <v/>
      </c>
      <c r="D5" s="43" t="str">
        <f aca="false">IF(A5="","",IFERROR(IF(C5="Hourly",VLOOKUP(A5,'EMP Employees'!$A:$V,19,0),IF(C5="Monthly",VLOOKUP(A5,'EMP Employees'!$A:$V,20,0)/'SET Settings'!$B$87,0)),0))</f>
        <v/>
      </c>
      <c r="E5" s="44"/>
      <c r="F5" s="44"/>
      <c r="G5" s="44"/>
      <c r="H5" s="44"/>
      <c r="I5" s="44"/>
      <c r="J5" s="44"/>
      <c r="K5" s="44"/>
      <c r="L5" s="43" t="str">
        <f aca="false">IF($A5="","",IFERROR(IF(C5="Monthly",VLOOKUP(A5,'EMP Employees'!$A:$V,20,0),0),0))</f>
        <v/>
      </c>
      <c r="M5" s="43" t="str">
        <f aca="false">IF($A5="","",IFERROR(E5*D5,0))</f>
        <v/>
      </c>
      <c r="N5" s="43" t="str">
        <f aca="false">IF($A5="","",IFERROR(F5*D5*'SET Settings'!$B$70,0))</f>
        <v/>
      </c>
      <c r="O5" s="43" t="str">
        <f aca="false">IF($A5="","",IFERROR(G5*D5*(1+'SET Settings'!$B$71),0))</f>
        <v/>
      </c>
      <c r="P5" s="43" t="str">
        <f aca="false">IF($A5="","",IFERROR(H5*D5*'SET Settings'!$B$72,0))</f>
        <v/>
      </c>
      <c r="Q5" s="43" t="str">
        <f aca="false">IF($A5="","",IFERROR(I5*D5*'SET Settings'!$B$73,0))</f>
        <v/>
      </c>
      <c r="R5" s="43" t="str">
        <f aca="false">IF($A5="","",IFERROR(J5*D5*'SET Settings'!$B$74,0))</f>
        <v/>
      </c>
      <c r="S5" s="45"/>
      <c r="T5" s="45"/>
      <c r="U5" s="46" t="str">
        <f aca="false">IF($A5="","",IFERROR(L5+M5+N5+O5+P5+Q5+R5+S5+T5,0))</f>
        <v/>
      </c>
      <c r="V5" s="43" t="str">
        <f aca="false">IF($A5="","",ROUND(IFERROR(MAX(0,(INDEX('SET Settings'!$D$6:$D$12,MATCH(U5*12,'SET Settings'!$A$6:$A$12,1))+(U5*12-INDEX('SET Settings'!$A$6:$A$12,MATCH(U5*12,'SET Settings'!$A$6:$A$12,1)))*INDEX('SET Settings'!$C$6:$C$12,MATCH(U5*12,'SET Settings'!$A$6:$A$12,1))/100))/12,0),2))</f>
        <v/>
      </c>
      <c r="W5" s="43" t="str">
        <f aca="false">IF($A5="","",IFERROR(MIN(U5*'SET Settings'!$B$16,'SET Settings'!$B$18),0))</f>
        <v/>
      </c>
      <c r="X5" s="45"/>
      <c r="Y5" s="45"/>
      <c r="Z5" s="45"/>
      <c r="AA5" s="45"/>
      <c r="AB5" s="43" t="str">
        <f aca="false">IF($A5="","",IFERROR(V5+W5+X5+Y5+Z5+AA5,0))</f>
        <v/>
      </c>
      <c r="AC5" s="47" t="str">
        <f aca="false">IF($A5="","",IFERROR(U5-AB5,0))</f>
        <v/>
      </c>
      <c r="AD5" s="43" t="str">
        <f aca="false">IF($A5="","",IFERROR(VLOOKUP(A5,'HIST Monthly History'!$A:$O,15,0),0))</f>
        <v/>
      </c>
      <c r="AE5" s="43" t="str">
        <f aca="true">IF($A5="","",IFERROR(V5*MONTH(TODAY()),0))</f>
        <v/>
      </c>
      <c r="AF5" s="48" t="str">
        <f aca="false">IF(A5="","",IFERROR(VLOOKUP(A5,'EMP Employees'!$A:$V,13,0),""))</f>
        <v/>
      </c>
      <c r="AG5" s="48" t="str">
        <f aca="false">IF(A5="","",IFERROR(VLOOKUP(A5,'EMP Employees'!$A:$V,14,0),""))</f>
        <v/>
      </c>
      <c r="AH5" s="11"/>
      <c r="AI5" s="11"/>
      <c r="AJ5" s="11"/>
      <c r="AK5" s="11"/>
      <c r="AL5" s="11"/>
      <c r="AM5" s="11"/>
      <c r="AN5" s="11"/>
    </row>
    <row r="6" customFormat="false" ht="15.75" hidden="false" customHeight="true" outlineLevel="0" collapsed="false">
      <c r="A6" s="41"/>
      <c r="B6" s="42" t="str">
        <f aca="false">IF(A6="","",IFERROR(VLOOKUP(A6,'EMP Employees'!$A:$V,2,0),""))</f>
        <v/>
      </c>
      <c r="C6" s="42" t="str">
        <f aca="false">IF(A6="","",IFERROR(VLOOKUP(A6,'EMP Employees'!$A:$V,18,0),""))</f>
        <v/>
      </c>
      <c r="D6" s="43" t="str">
        <f aca="false">IF(A6="","",IFERROR(IF(C6="Hourly",VLOOKUP(A6,'EMP Employees'!$A:$V,19,0),IF(C6="Monthly",VLOOKUP(A6,'EMP Employees'!$A:$V,20,0)/'SET Settings'!$B$87,0)),0))</f>
        <v/>
      </c>
      <c r="E6" s="44"/>
      <c r="F6" s="44"/>
      <c r="G6" s="44"/>
      <c r="H6" s="44"/>
      <c r="I6" s="44"/>
      <c r="J6" s="44"/>
      <c r="K6" s="44"/>
      <c r="L6" s="43" t="str">
        <f aca="false">IF($A6="","",IFERROR(IF(C6="Monthly",VLOOKUP(A6,'EMP Employees'!$A:$V,20,0),0),0))</f>
        <v/>
      </c>
      <c r="M6" s="43" t="str">
        <f aca="false">IF($A6="","",IFERROR(E6*D6,0))</f>
        <v/>
      </c>
      <c r="N6" s="43" t="str">
        <f aca="false">IF($A6="","",IFERROR(F6*D6*'SET Settings'!$B$70,0))</f>
        <v/>
      </c>
      <c r="O6" s="43" t="str">
        <f aca="false">IF($A6="","",IFERROR(G6*D6*(1+'SET Settings'!$B$71),0))</f>
        <v/>
      </c>
      <c r="P6" s="43" t="str">
        <f aca="false">IF($A6="","",IFERROR(H6*D6*'SET Settings'!$B$72,0))</f>
        <v/>
      </c>
      <c r="Q6" s="43" t="str">
        <f aca="false">IF($A6="","",IFERROR(I6*D6*'SET Settings'!$B$73,0))</f>
        <v/>
      </c>
      <c r="R6" s="43" t="str">
        <f aca="false">IF($A6="","",IFERROR(J6*D6*'SET Settings'!$B$74,0))</f>
        <v/>
      </c>
      <c r="S6" s="45"/>
      <c r="T6" s="45"/>
      <c r="U6" s="46" t="str">
        <f aca="false">IF($A6="","",IFERROR(L6+M6+N6+O6+P6+Q6+R6+S6+T6,0))</f>
        <v/>
      </c>
      <c r="V6" s="43" t="str">
        <f aca="false">IF($A6="","",ROUND(IFERROR(MAX(0,(INDEX('SET Settings'!$D$6:$D$12,MATCH(U6*12,'SET Settings'!$A$6:$A$12,1))+(U6*12-INDEX('SET Settings'!$A$6:$A$12,MATCH(U6*12,'SET Settings'!$A$6:$A$12,1)))*INDEX('SET Settings'!$C$6:$C$12,MATCH(U6*12,'SET Settings'!$A$6:$A$12,1))/100))/12,0),2))</f>
        <v/>
      </c>
      <c r="W6" s="43" t="str">
        <f aca="false">IF($A6="","",IFERROR(MIN(U6*'SET Settings'!$B$16,'SET Settings'!$B$18),0))</f>
        <v/>
      </c>
      <c r="X6" s="45"/>
      <c r="Y6" s="45"/>
      <c r="Z6" s="45"/>
      <c r="AA6" s="45"/>
      <c r="AB6" s="43" t="str">
        <f aca="false">IF($A6="","",IFERROR(V6+W6+X6+Y6+Z6+AA6,0))</f>
        <v/>
      </c>
      <c r="AC6" s="47" t="str">
        <f aca="false">IF($A6="","",IFERROR(U6-AB6,0))</f>
        <v/>
      </c>
      <c r="AD6" s="43" t="str">
        <f aca="false">IF($A6="","",IFERROR(VLOOKUP(A6,'HIST Monthly History'!$A:$O,15,0),0))</f>
        <v/>
      </c>
      <c r="AE6" s="43" t="str">
        <f aca="true">IF($A6="","",IFERROR(V6*MONTH(TODAY()),0))</f>
        <v/>
      </c>
      <c r="AF6" s="48" t="str">
        <f aca="false">IF(A6="","",IFERROR(VLOOKUP(A6,'EMP Employees'!$A:$V,13,0),""))</f>
        <v/>
      </c>
      <c r="AG6" s="48" t="str">
        <f aca="false">IF(A6="","",IFERROR(VLOOKUP(A6,'EMP Employees'!$A:$V,14,0),""))</f>
        <v/>
      </c>
      <c r="AH6" s="11"/>
      <c r="AI6" s="11"/>
      <c r="AJ6" s="11"/>
      <c r="AK6" s="11"/>
      <c r="AL6" s="11"/>
      <c r="AM6" s="11"/>
      <c r="AN6" s="11"/>
    </row>
    <row r="7" customFormat="false" ht="15.75" hidden="false" customHeight="true" outlineLevel="0" collapsed="false">
      <c r="A7" s="41"/>
      <c r="B7" s="42" t="str">
        <f aca="false">IF(A7="","",IFERROR(VLOOKUP(A7,'EMP Employees'!$A:$V,2,0),""))</f>
        <v/>
      </c>
      <c r="C7" s="42" t="str">
        <f aca="false">IF(A7="","",IFERROR(VLOOKUP(A7,'EMP Employees'!$A:$V,18,0),""))</f>
        <v/>
      </c>
      <c r="D7" s="43" t="str">
        <f aca="false">IF(A7="","",IFERROR(IF(C7="Hourly",VLOOKUP(A7,'EMP Employees'!$A:$V,19,0),IF(C7="Monthly",VLOOKUP(A7,'EMP Employees'!$A:$V,20,0)/'SET Settings'!$B$87,0)),0))</f>
        <v/>
      </c>
      <c r="E7" s="44"/>
      <c r="F7" s="44"/>
      <c r="G7" s="44"/>
      <c r="H7" s="44"/>
      <c r="I7" s="44"/>
      <c r="J7" s="44"/>
      <c r="K7" s="44"/>
      <c r="L7" s="43" t="str">
        <f aca="false">IF($A7="","",IFERROR(IF(C7="Monthly",VLOOKUP(A7,'EMP Employees'!$A:$V,20,0),0),0))</f>
        <v/>
      </c>
      <c r="M7" s="43" t="str">
        <f aca="false">IF($A7="","",IFERROR(E7*D7,0))</f>
        <v/>
      </c>
      <c r="N7" s="43" t="str">
        <f aca="false">IF($A7="","",IFERROR(F7*D7*'SET Settings'!$B$70,0))</f>
        <v/>
      </c>
      <c r="O7" s="43" t="str">
        <f aca="false">IF($A7="","",IFERROR(G7*D7*(1+'SET Settings'!$B$71),0))</f>
        <v/>
      </c>
      <c r="P7" s="43" t="str">
        <f aca="false">IF($A7="","",IFERROR(H7*D7*'SET Settings'!$B$72,0))</f>
        <v/>
      </c>
      <c r="Q7" s="43" t="str">
        <f aca="false">IF($A7="","",IFERROR(I7*D7*'SET Settings'!$B$73,0))</f>
        <v/>
      </c>
      <c r="R7" s="43" t="str">
        <f aca="false">IF($A7="","",IFERROR(J7*D7*'SET Settings'!$B$74,0))</f>
        <v/>
      </c>
      <c r="S7" s="45"/>
      <c r="T7" s="45"/>
      <c r="U7" s="46" t="str">
        <f aca="false">IF($A7="","",IFERROR(L7+M7+N7+O7+P7+Q7+R7+S7+T7,0))</f>
        <v/>
      </c>
      <c r="V7" s="43" t="str">
        <f aca="false">IF($A7="","",ROUND(IFERROR(MAX(0,(INDEX('SET Settings'!$D$6:$D$12,MATCH(U7*12,'SET Settings'!$A$6:$A$12,1))+(U7*12-INDEX('SET Settings'!$A$6:$A$12,MATCH(U7*12,'SET Settings'!$A$6:$A$12,1)))*INDEX('SET Settings'!$C$6:$C$12,MATCH(U7*12,'SET Settings'!$A$6:$A$12,1))/100))/12,0),2))</f>
        <v/>
      </c>
      <c r="W7" s="43" t="str">
        <f aca="false">IF($A7="","",IFERROR(MIN(U7*'SET Settings'!$B$16,'SET Settings'!$B$18),0))</f>
        <v/>
      </c>
      <c r="X7" s="45"/>
      <c r="Y7" s="45"/>
      <c r="Z7" s="45"/>
      <c r="AA7" s="45"/>
      <c r="AB7" s="43" t="str">
        <f aca="false">IF($A7="","",IFERROR(V7+W7+X7+Y7+Z7+AA7,0))</f>
        <v/>
      </c>
      <c r="AC7" s="47" t="str">
        <f aca="false">IF($A7="","",IFERROR(U7-AB7,0))</f>
        <v/>
      </c>
      <c r="AD7" s="43" t="str">
        <f aca="false">IF($A7="","",IFERROR(VLOOKUP(A7,'HIST Monthly History'!$A:$O,15,0),0))</f>
        <v/>
      </c>
      <c r="AE7" s="43" t="str">
        <f aca="true">IF($A7="","",IFERROR(V7*MONTH(TODAY()),0))</f>
        <v/>
      </c>
      <c r="AF7" s="48" t="str">
        <f aca="false">IF(A7="","",IFERROR(VLOOKUP(A7,'EMP Employees'!$A:$V,13,0),""))</f>
        <v/>
      </c>
      <c r="AG7" s="48" t="str">
        <f aca="false">IF(A7="","",IFERROR(VLOOKUP(A7,'EMP Employees'!$A:$V,14,0),""))</f>
        <v/>
      </c>
      <c r="AH7" s="11"/>
      <c r="AI7" s="11"/>
      <c r="AJ7" s="11"/>
      <c r="AK7" s="11"/>
      <c r="AL7" s="11"/>
      <c r="AM7" s="11"/>
      <c r="AN7" s="11"/>
    </row>
    <row r="8" customFormat="false" ht="15.75" hidden="false" customHeight="true" outlineLevel="0" collapsed="false">
      <c r="A8" s="41"/>
      <c r="B8" s="42" t="str">
        <f aca="false">IF(A8="","",IFERROR(VLOOKUP(A8,'EMP Employees'!$A:$V,2,0),""))</f>
        <v/>
      </c>
      <c r="C8" s="42" t="str">
        <f aca="false">IF(A8="","",IFERROR(VLOOKUP(A8,'EMP Employees'!$A:$V,18,0),""))</f>
        <v/>
      </c>
      <c r="D8" s="43" t="str">
        <f aca="false">IF(A8="","",IFERROR(IF(C8="Hourly",VLOOKUP(A8,'EMP Employees'!$A:$V,19,0),IF(C8="Monthly",VLOOKUP(A8,'EMP Employees'!$A:$V,20,0)/'SET Settings'!$B$87,0)),0))</f>
        <v/>
      </c>
      <c r="E8" s="44"/>
      <c r="F8" s="44"/>
      <c r="G8" s="44"/>
      <c r="H8" s="44"/>
      <c r="I8" s="44"/>
      <c r="J8" s="44"/>
      <c r="K8" s="44"/>
      <c r="L8" s="43" t="str">
        <f aca="false">IF($A8="","",IFERROR(IF(C8="Monthly",VLOOKUP(A8,'EMP Employees'!$A:$V,20,0),0),0))</f>
        <v/>
      </c>
      <c r="M8" s="43" t="str">
        <f aca="false">IF($A8="","",IFERROR(E8*D8,0))</f>
        <v/>
      </c>
      <c r="N8" s="43" t="str">
        <f aca="false">IF($A8="","",IFERROR(F8*D8*'SET Settings'!$B$70,0))</f>
        <v/>
      </c>
      <c r="O8" s="43" t="str">
        <f aca="false">IF($A8="","",IFERROR(G8*D8*(1+'SET Settings'!$B$71),0))</f>
        <v/>
      </c>
      <c r="P8" s="43" t="str">
        <f aca="false">IF($A8="","",IFERROR(H8*D8*'SET Settings'!$B$72,0))</f>
        <v/>
      </c>
      <c r="Q8" s="43" t="str">
        <f aca="false">IF($A8="","",IFERROR(I8*D8*'SET Settings'!$B$73,0))</f>
        <v/>
      </c>
      <c r="R8" s="43" t="str">
        <f aca="false">IF($A8="","",IFERROR(J8*D8*'SET Settings'!$B$74,0))</f>
        <v/>
      </c>
      <c r="S8" s="45"/>
      <c r="T8" s="45"/>
      <c r="U8" s="46" t="str">
        <f aca="false">IF($A8="","",IFERROR(L8+M8+N8+O8+P8+Q8+R8+S8+T8,0))</f>
        <v/>
      </c>
      <c r="V8" s="43" t="str">
        <f aca="false">IF($A8="","",ROUND(IFERROR(MAX(0,(INDEX('SET Settings'!$D$6:$D$12,MATCH(U8*12,'SET Settings'!$A$6:$A$12,1))+(U8*12-INDEX('SET Settings'!$A$6:$A$12,MATCH(U8*12,'SET Settings'!$A$6:$A$12,1)))*INDEX('SET Settings'!$C$6:$C$12,MATCH(U8*12,'SET Settings'!$A$6:$A$12,1))/100))/12,0),2))</f>
        <v/>
      </c>
      <c r="W8" s="43" t="str">
        <f aca="false">IF($A8="","",IFERROR(MIN(U8*'SET Settings'!$B$16,'SET Settings'!$B$18),0))</f>
        <v/>
      </c>
      <c r="X8" s="45"/>
      <c r="Y8" s="45"/>
      <c r="Z8" s="45"/>
      <c r="AA8" s="45"/>
      <c r="AB8" s="43" t="str">
        <f aca="false">IF($A8="","",IFERROR(V8+W8+X8+Y8+Z8+AA8,0))</f>
        <v/>
      </c>
      <c r="AC8" s="47" t="str">
        <f aca="false">IF($A8="","",IFERROR(U8-AB8,0))</f>
        <v/>
      </c>
      <c r="AD8" s="43" t="str">
        <f aca="false">IF($A8="","",IFERROR(VLOOKUP(A8,'HIST Monthly History'!$A:$O,15,0),0))</f>
        <v/>
      </c>
      <c r="AE8" s="43" t="str">
        <f aca="true">IF($A8="","",IFERROR(V8*MONTH(TODAY()),0))</f>
        <v/>
      </c>
      <c r="AF8" s="48" t="str">
        <f aca="false">IF(A8="","",IFERROR(VLOOKUP(A8,'EMP Employees'!$A:$V,13,0),""))</f>
        <v/>
      </c>
      <c r="AG8" s="48" t="str">
        <f aca="false">IF(A8="","",IFERROR(VLOOKUP(A8,'EMP Employees'!$A:$V,14,0),""))</f>
        <v/>
      </c>
      <c r="AH8" s="11"/>
      <c r="AI8" s="11"/>
      <c r="AJ8" s="11"/>
      <c r="AK8" s="11"/>
      <c r="AL8" s="11"/>
      <c r="AM8" s="11"/>
      <c r="AN8" s="11"/>
    </row>
    <row r="9" customFormat="false" ht="15.75" hidden="false" customHeight="true" outlineLevel="0" collapsed="false">
      <c r="A9" s="41"/>
      <c r="B9" s="42" t="str">
        <f aca="false">IF(A9="","",IFERROR(VLOOKUP(A9,'EMP Employees'!$A:$V,2,0),""))</f>
        <v/>
      </c>
      <c r="C9" s="42" t="str">
        <f aca="false">IF(A9="","",IFERROR(VLOOKUP(A9,'EMP Employees'!$A:$V,18,0),""))</f>
        <v/>
      </c>
      <c r="D9" s="43" t="str">
        <f aca="false">IF(A9="","",IFERROR(IF(C9="Hourly",VLOOKUP(A9,'EMP Employees'!$A:$V,19,0),IF(C9="Monthly",VLOOKUP(A9,'EMP Employees'!$A:$V,20,0)/'SET Settings'!$B$87,0)),0))</f>
        <v/>
      </c>
      <c r="E9" s="44"/>
      <c r="F9" s="44"/>
      <c r="G9" s="44"/>
      <c r="H9" s="44"/>
      <c r="I9" s="44"/>
      <c r="J9" s="44"/>
      <c r="K9" s="44"/>
      <c r="L9" s="43" t="str">
        <f aca="false">IF($A9="","",IFERROR(IF(C9="Monthly",VLOOKUP(A9,'EMP Employees'!$A:$V,20,0),0),0))</f>
        <v/>
      </c>
      <c r="M9" s="43" t="str">
        <f aca="false">IF($A9="","",IFERROR(E9*D9,0))</f>
        <v/>
      </c>
      <c r="N9" s="43" t="str">
        <f aca="false">IF($A9="","",IFERROR(F9*D9*'SET Settings'!$B$70,0))</f>
        <v/>
      </c>
      <c r="O9" s="43" t="str">
        <f aca="false">IF($A9="","",IFERROR(G9*D9*(1+'SET Settings'!$B$71),0))</f>
        <v/>
      </c>
      <c r="P9" s="43" t="str">
        <f aca="false">IF($A9="","",IFERROR(H9*D9*'SET Settings'!$B$72,0))</f>
        <v/>
      </c>
      <c r="Q9" s="43" t="str">
        <f aca="false">IF($A9="","",IFERROR(I9*D9*'SET Settings'!$B$73,0))</f>
        <v/>
      </c>
      <c r="R9" s="43" t="str">
        <f aca="false">IF($A9="","",IFERROR(J9*D9*'SET Settings'!$B$74,0))</f>
        <v/>
      </c>
      <c r="S9" s="45"/>
      <c r="T9" s="45"/>
      <c r="U9" s="46" t="str">
        <f aca="false">IF($A9="","",IFERROR(L9+M9+N9+O9+P9+Q9+R9+S9+T9,0))</f>
        <v/>
      </c>
      <c r="V9" s="43" t="str">
        <f aca="false">IF($A9="","",ROUND(IFERROR(MAX(0,(INDEX('SET Settings'!$D$6:$D$12,MATCH(U9*12,'SET Settings'!$A$6:$A$12,1))+(U9*12-INDEX('SET Settings'!$A$6:$A$12,MATCH(U9*12,'SET Settings'!$A$6:$A$12,1)))*INDEX('SET Settings'!$C$6:$C$12,MATCH(U9*12,'SET Settings'!$A$6:$A$12,1))/100))/12,0),2))</f>
        <v/>
      </c>
      <c r="W9" s="43" t="str">
        <f aca="false">IF($A9="","",IFERROR(MIN(U9*'SET Settings'!$B$16,'SET Settings'!$B$18),0))</f>
        <v/>
      </c>
      <c r="X9" s="45"/>
      <c r="Y9" s="45"/>
      <c r="Z9" s="45"/>
      <c r="AA9" s="45"/>
      <c r="AB9" s="43" t="str">
        <f aca="false">IF($A9="","",IFERROR(V9+W9+X9+Y9+Z9+AA9,0))</f>
        <v/>
      </c>
      <c r="AC9" s="47" t="str">
        <f aca="false">IF($A9="","",IFERROR(U9-AB9,0))</f>
        <v/>
      </c>
      <c r="AD9" s="43" t="str">
        <f aca="false">IF($A9="","",IFERROR(VLOOKUP(A9,'HIST Monthly History'!$A:$O,15,0),0))</f>
        <v/>
      </c>
      <c r="AE9" s="43" t="str">
        <f aca="true">IF($A9="","",IFERROR(V9*MONTH(TODAY()),0))</f>
        <v/>
      </c>
      <c r="AF9" s="48" t="str">
        <f aca="false">IF(A9="","",IFERROR(VLOOKUP(A9,'EMP Employees'!$A:$V,13,0),""))</f>
        <v/>
      </c>
      <c r="AG9" s="48" t="str">
        <f aca="false">IF(A9="","",IFERROR(VLOOKUP(A9,'EMP Employees'!$A:$V,14,0),""))</f>
        <v/>
      </c>
      <c r="AH9" s="11"/>
      <c r="AI9" s="11"/>
      <c r="AJ9" s="11"/>
      <c r="AK9" s="11"/>
      <c r="AL9" s="11"/>
      <c r="AM9" s="11"/>
      <c r="AN9" s="11"/>
    </row>
    <row r="10" customFormat="false" ht="15.75" hidden="false" customHeight="true" outlineLevel="0" collapsed="false">
      <c r="A10" s="41"/>
      <c r="B10" s="42" t="str">
        <f aca="false">IF(A10="","",IFERROR(VLOOKUP(A10,'EMP Employees'!$A:$V,2,0),""))</f>
        <v/>
      </c>
      <c r="C10" s="42" t="str">
        <f aca="false">IF(A10="","",IFERROR(VLOOKUP(A10,'EMP Employees'!$A:$V,18,0),""))</f>
        <v/>
      </c>
      <c r="D10" s="43" t="str">
        <f aca="false">IF(A10="","",IFERROR(IF(C10="Hourly",VLOOKUP(A10,'EMP Employees'!$A:$V,19,0),IF(C10="Monthly",VLOOKUP(A10,'EMP Employees'!$A:$V,20,0)/'SET Settings'!$B$87,0)),0))</f>
        <v/>
      </c>
      <c r="E10" s="44"/>
      <c r="F10" s="44"/>
      <c r="G10" s="44"/>
      <c r="H10" s="44"/>
      <c r="I10" s="44"/>
      <c r="J10" s="44"/>
      <c r="K10" s="44"/>
      <c r="L10" s="43" t="str">
        <f aca="false">IF($A10="","",IFERROR(IF(C10="Monthly",VLOOKUP(A10,'EMP Employees'!$A:$V,20,0),0),0))</f>
        <v/>
      </c>
      <c r="M10" s="43" t="str">
        <f aca="false">IF($A10="","",IFERROR(E10*D10,0))</f>
        <v/>
      </c>
      <c r="N10" s="43" t="str">
        <f aca="false">IF($A10="","",IFERROR(F10*D10*'SET Settings'!$B$70,0))</f>
        <v/>
      </c>
      <c r="O10" s="43" t="str">
        <f aca="false">IF($A10="","",IFERROR(G10*D10*(1+'SET Settings'!$B$71),0))</f>
        <v/>
      </c>
      <c r="P10" s="43" t="str">
        <f aca="false">IF($A10="","",IFERROR(H10*D10*'SET Settings'!$B$72,0))</f>
        <v/>
      </c>
      <c r="Q10" s="43" t="str">
        <f aca="false">IF($A10="","",IFERROR(I10*D10*'SET Settings'!$B$73,0))</f>
        <v/>
      </c>
      <c r="R10" s="43" t="str">
        <f aca="false">IF($A10="","",IFERROR(J10*D10*'SET Settings'!$B$74,0))</f>
        <v/>
      </c>
      <c r="S10" s="45"/>
      <c r="T10" s="45"/>
      <c r="U10" s="46" t="str">
        <f aca="false">IF($A10="","",IFERROR(L10+M10+N10+O10+P10+Q10+R10+S10+T10,0))</f>
        <v/>
      </c>
      <c r="V10" s="43" t="str">
        <f aca="false">IF($A10="","",ROUND(IFERROR(MAX(0,(INDEX('SET Settings'!$D$6:$D$12,MATCH(U10*12,'SET Settings'!$A$6:$A$12,1))+(U10*12-INDEX('SET Settings'!$A$6:$A$12,MATCH(U10*12,'SET Settings'!$A$6:$A$12,1)))*INDEX('SET Settings'!$C$6:$C$12,MATCH(U10*12,'SET Settings'!$A$6:$A$12,1))/100))/12,0),2))</f>
        <v/>
      </c>
      <c r="W10" s="43" t="str">
        <f aca="false">IF($A10="","",IFERROR(MIN(U10*'SET Settings'!$B$16,'SET Settings'!$B$18),0))</f>
        <v/>
      </c>
      <c r="X10" s="45"/>
      <c r="Y10" s="45"/>
      <c r="Z10" s="45"/>
      <c r="AA10" s="45"/>
      <c r="AB10" s="43" t="str">
        <f aca="false">IF($A10="","",IFERROR(V10+W10+X10+Y10+Z10+AA10,0))</f>
        <v/>
      </c>
      <c r="AC10" s="47" t="str">
        <f aca="false">IF($A10="","",IFERROR(U10-AB10,0))</f>
        <v/>
      </c>
      <c r="AD10" s="43" t="str">
        <f aca="false">IF($A10="","",IFERROR(VLOOKUP(A10,'HIST Monthly History'!$A:$O,15,0),0))</f>
        <v/>
      </c>
      <c r="AE10" s="43" t="str">
        <f aca="true">IF($A10="","",IFERROR(V10*MONTH(TODAY()),0))</f>
        <v/>
      </c>
      <c r="AF10" s="48" t="str">
        <f aca="false">IF(A10="","",IFERROR(VLOOKUP(A10,'EMP Employees'!$A:$V,13,0),""))</f>
        <v/>
      </c>
      <c r="AG10" s="48" t="str">
        <f aca="false">IF(A10="","",IFERROR(VLOOKUP(A10,'EMP Employees'!$A:$V,14,0),""))</f>
        <v/>
      </c>
      <c r="AH10" s="11"/>
      <c r="AI10" s="11"/>
      <c r="AJ10" s="11"/>
      <c r="AK10" s="11"/>
      <c r="AL10" s="11"/>
      <c r="AM10" s="11"/>
      <c r="AN10" s="11"/>
    </row>
    <row r="11" customFormat="false" ht="15.75" hidden="false" customHeight="true" outlineLevel="0" collapsed="false">
      <c r="A11" s="41"/>
      <c r="B11" s="42" t="str">
        <f aca="false">IF(A11="","",IFERROR(VLOOKUP(A11,'EMP Employees'!$A:$V,2,0),""))</f>
        <v/>
      </c>
      <c r="C11" s="42" t="str">
        <f aca="false">IF(A11="","",IFERROR(VLOOKUP(A11,'EMP Employees'!$A:$V,18,0),""))</f>
        <v/>
      </c>
      <c r="D11" s="43" t="str">
        <f aca="false">IF(A11="","",IFERROR(IF(C11="Hourly",VLOOKUP(A11,'EMP Employees'!$A:$V,19,0),IF(C11="Monthly",VLOOKUP(A11,'EMP Employees'!$A:$V,20,0)/'SET Settings'!$B$87,0)),0))</f>
        <v/>
      </c>
      <c r="E11" s="44"/>
      <c r="F11" s="44"/>
      <c r="G11" s="44"/>
      <c r="H11" s="44"/>
      <c r="I11" s="44"/>
      <c r="J11" s="44"/>
      <c r="K11" s="44"/>
      <c r="L11" s="43" t="str">
        <f aca="false">IF($A11="","",IFERROR(IF(C11="Monthly",VLOOKUP(A11,'EMP Employees'!$A:$V,20,0),0),0))</f>
        <v/>
      </c>
      <c r="M11" s="43" t="str">
        <f aca="false">IF($A11="","",IFERROR(E11*D11,0))</f>
        <v/>
      </c>
      <c r="N11" s="43" t="str">
        <f aca="false">IF($A11="","",IFERROR(F11*D11*'SET Settings'!$B$70,0))</f>
        <v/>
      </c>
      <c r="O11" s="43" t="str">
        <f aca="false">IF($A11="","",IFERROR(G11*D11*(1+'SET Settings'!$B$71),0))</f>
        <v/>
      </c>
      <c r="P11" s="43" t="str">
        <f aca="false">IF($A11="","",IFERROR(H11*D11*'SET Settings'!$B$72,0))</f>
        <v/>
      </c>
      <c r="Q11" s="43" t="str">
        <f aca="false">IF($A11="","",IFERROR(I11*D11*'SET Settings'!$B$73,0))</f>
        <v/>
      </c>
      <c r="R11" s="43" t="str">
        <f aca="false">IF($A11="","",IFERROR(J11*D11*'SET Settings'!$B$74,0))</f>
        <v/>
      </c>
      <c r="S11" s="45"/>
      <c r="T11" s="45"/>
      <c r="U11" s="46" t="str">
        <f aca="false">IF($A11="","",IFERROR(L11+M11+N11+O11+P11+Q11+R11+S11+T11,0))</f>
        <v/>
      </c>
      <c r="V11" s="43" t="str">
        <f aca="false">IF($A11="","",ROUND(IFERROR(MAX(0,(INDEX('SET Settings'!$D$6:$D$12,MATCH(U11*12,'SET Settings'!$A$6:$A$12,1))+(U11*12-INDEX('SET Settings'!$A$6:$A$12,MATCH(U11*12,'SET Settings'!$A$6:$A$12,1)))*INDEX('SET Settings'!$C$6:$C$12,MATCH(U11*12,'SET Settings'!$A$6:$A$12,1))/100))/12,0),2))</f>
        <v/>
      </c>
      <c r="W11" s="43" t="str">
        <f aca="false">IF($A11="","",IFERROR(MIN(U11*'SET Settings'!$B$16,'SET Settings'!$B$18),0))</f>
        <v/>
      </c>
      <c r="X11" s="45"/>
      <c r="Y11" s="45"/>
      <c r="Z11" s="45"/>
      <c r="AA11" s="45"/>
      <c r="AB11" s="43" t="str">
        <f aca="false">IF($A11="","",IFERROR(V11+W11+X11+Y11+Z11+AA11,0))</f>
        <v/>
      </c>
      <c r="AC11" s="47" t="str">
        <f aca="false">IF($A11="","",IFERROR(U11-AB11,0))</f>
        <v/>
      </c>
      <c r="AD11" s="43" t="str">
        <f aca="false">IF($A11="","",IFERROR(VLOOKUP(A11,'HIST Monthly History'!$A:$O,15,0),0))</f>
        <v/>
      </c>
      <c r="AE11" s="43" t="str">
        <f aca="true">IF($A11="","",IFERROR(V11*MONTH(TODAY()),0))</f>
        <v/>
      </c>
      <c r="AF11" s="48" t="str">
        <f aca="false">IF(A11="","",IFERROR(VLOOKUP(A11,'EMP Employees'!$A:$V,13,0),""))</f>
        <v/>
      </c>
      <c r="AG11" s="48" t="str">
        <f aca="false">IF(A11="","",IFERROR(VLOOKUP(A11,'EMP Employees'!$A:$V,14,0),""))</f>
        <v/>
      </c>
      <c r="AH11" s="11"/>
      <c r="AI11" s="11"/>
      <c r="AJ11" s="11"/>
      <c r="AK11" s="11"/>
      <c r="AL11" s="11"/>
      <c r="AM11" s="11"/>
      <c r="AN11" s="11"/>
    </row>
    <row r="12" customFormat="false" ht="15.75" hidden="false" customHeight="true" outlineLevel="0" collapsed="false">
      <c r="A12" s="41"/>
      <c r="B12" s="42" t="str">
        <f aca="false">IF(A12="","",IFERROR(VLOOKUP(A12,'EMP Employees'!$A:$V,2,0),""))</f>
        <v/>
      </c>
      <c r="C12" s="42" t="str">
        <f aca="false">IF(A12="","",IFERROR(VLOOKUP(A12,'EMP Employees'!$A:$V,18,0),""))</f>
        <v/>
      </c>
      <c r="D12" s="43" t="str">
        <f aca="false">IF(A12="","",IFERROR(IF(C12="Hourly",VLOOKUP(A12,'EMP Employees'!$A:$V,19,0),IF(C12="Monthly",VLOOKUP(A12,'EMP Employees'!$A:$V,20,0)/'SET Settings'!$B$87,0)),0))</f>
        <v/>
      </c>
      <c r="E12" s="44"/>
      <c r="F12" s="44"/>
      <c r="G12" s="44"/>
      <c r="H12" s="44"/>
      <c r="I12" s="44"/>
      <c r="J12" s="44"/>
      <c r="K12" s="44"/>
      <c r="L12" s="43" t="str">
        <f aca="false">IF($A12="","",IFERROR(IF(C12="Monthly",VLOOKUP(A12,'EMP Employees'!$A:$V,20,0),0),0))</f>
        <v/>
      </c>
      <c r="M12" s="43" t="str">
        <f aca="false">IF($A12="","",IFERROR(E12*D12,0))</f>
        <v/>
      </c>
      <c r="N12" s="43" t="str">
        <f aca="false">IF($A12="","",IFERROR(F12*D12*'SET Settings'!$B$70,0))</f>
        <v/>
      </c>
      <c r="O12" s="43" t="str">
        <f aca="false">IF($A12="","",IFERROR(G12*D12*(1+'SET Settings'!$B$71),0))</f>
        <v/>
      </c>
      <c r="P12" s="43" t="str">
        <f aca="false">IF($A12="","",IFERROR(H12*D12*'SET Settings'!$B$72,0))</f>
        <v/>
      </c>
      <c r="Q12" s="43" t="str">
        <f aca="false">IF($A12="","",IFERROR(I12*D12*'SET Settings'!$B$73,0))</f>
        <v/>
      </c>
      <c r="R12" s="43" t="str">
        <f aca="false">IF($A12="","",IFERROR(J12*D12*'SET Settings'!$B$74,0))</f>
        <v/>
      </c>
      <c r="S12" s="45"/>
      <c r="T12" s="45"/>
      <c r="U12" s="46" t="str">
        <f aca="false">IF($A12="","",IFERROR(L12+M12+N12+O12+P12+Q12+R12+S12+T12,0))</f>
        <v/>
      </c>
      <c r="V12" s="43" t="str">
        <f aca="false">IF($A12="","",ROUND(IFERROR(MAX(0,(INDEX('SET Settings'!$D$6:$D$12,MATCH(U12*12,'SET Settings'!$A$6:$A$12,1))+(U12*12-INDEX('SET Settings'!$A$6:$A$12,MATCH(U12*12,'SET Settings'!$A$6:$A$12,1)))*INDEX('SET Settings'!$C$6:$C$12,MATCH(U12*12,'SET Settings'!$A$6:$A$12,1))/100))/12,0),2))</f>
        <v/>
      </c>
      <c r="W12" s="43" t="str">
        <f aca="false">IF($A12="","",IFERROR(MIN(U12*'SET Settings'!$B$16,'SET Settings'!$B$18),0))</f>
        <v/>
      </c>
      <c r="X12" s="45"/>
      <c r="Y12" s="45"/>
      <c r="Z12" s="45"/>
      <c r="AA12" s="45"/>
      <c r="AB12" s="43" t="str">
        <f aca="false">IF($A12="","",IFERROR(V12+W12+X12+Y12+Z12+AA12,0))</f>
        <v/>
      </c>
      <c r="AC12" s="47" t="str">
        <f aca="false">IF($A12="","",IFERROR(U12-AB12,0))</f>
        <v/>
      </c>
      <c r="AD12" s="43" t="str">
        <f aca="false">IF($A12="","",IFERROR(VLOOKUP(A12,'HIST Monthly History'!$A:$O,15,0),0))</f>
        <v/>
      </c>
      <c r="AE12" s="43" t="str">
        <f aca="true">IF($A12="","",IFERROR(V12*MONTH(TODAY()),0))</f>
        <v/>
      </c>
      <c r="AF12" s="48" t="str">
        <f aca="false">IF(A12="","",IFERROR(VLOOKUP(A12,'EMP Employees'!$A:$V,13,0),""))</f>
        <v/>
      </c>
      <c r="AG12" s="48" t="str">
        <f aca="false">IF(A12="","",IFERROR(VLOOKUP(A12,'EMP Employees'!$A:$V,14,0),""))</f>
        <v/>
      </c>
      <c r="AH12" s="11"/>
      <c r="AI12" s="11"/>
      <c r="AJ12" s="11"/>
      <c r="AK12" s="11"/>
      <c r="AL12" s="11"/>
      <c r="AM12" s="11"/>
      <c r="AN12" s="11"/>
    </row>
    <row r="13" customFormat="false" ht="15.75" hidden="false" customHeight="true" outlineLevel="0" collapsed="false">
      <c r="A13" s="41"/>
      <c r="B13" s="42" t="str">
        <f aca="false">IF(A13="","",IFERROR(VLOOKUP(A13,'EMP Employees'!$A:$V,2,0),""))</f>
        <v/>
      </c>
      <c r="C13" s="42" t="str">
        <f aca="false">IF(A13="","",IFERROR(VLOOKUP(A13,'EMP Employees'!$A:$V,18,0),""))</f>
        <v/>
      </c>
      <c r="D13" s="43" t="str">
        <f aca="false">IF(A13="","",IFERROR(IF(C13="Hourly",VLOOKUP(A13,'EMP Employees'!$A:$V,19,0),IF(C13="Monthly",VLOOKUP(A13,'EMP Employees'!$A:$V,20,0)/'SET Settings'!$B$87,0)),0))</f>
        <v/>
      </c>
      <c r="E13" s="44"/>
      <c r="F13" s="44"/>
      <c r="G13" s="44"/>
      <c r="H13" s="44"/>
      <c r="I13" s="44"/>
      <c r="J13" s="44"/>
      <c r="K13" s="44"/>
      <c r="L13" s="43" t="str">
        <f aca="false">IF($A13="","",IFERROR(IF(C13="Monthly",VLOOKUP(A13,'EMP Employees'!$A:$V,20,0),0),0))</f>
        <v/>
      </c>
      <c r="M13" s="43" t="str">
        <f aca="false">IF($A13="","",IFERROR(E13*D13,0))</f>
        <v/>
      </c>
      <c r="N13" s="43" t="str">
        <f aca="false">IF($A13="","",IFERROR(F13*D13*'SET Settings'!$B$70,0))</f>
        <v/>
      </c>
      <c r="O13" s="43" t="str">
        <f aca="false">IF($A13="","",IFERROR(G13*D13*(1+'SET Settings'!$B$71),0))</f>
        <v/>
      </c>
      <c r="P13" s="43" t="str">
        <f aca="false">IF($A13="","",IFERROR(H13*D13*'SET Settings'!$B$72,0))</f>
        <v/>
      </c>
      <c r="Q13" s="43" t="str">
        <f aca="false">IF($A13="","",IFERROR(I13*D13*'SET Settings'!$B$73,0))</f>
        <v/>
      </c>
      <c r="R13" s="43" t="str">
        <f aca="false">IF($A13="","",IFERROR(J13*D13*'SET Settings'!$B$74,0))</f>
        <v/>
      </c>
      <c r="S13" s="45"/>
      <c r="T13" s="45"/>
      <c r="U13" s="46" t="str">
        <f aca="false">IF($A13="","",IFERROR(L13+M13+N13+O13+P13+Q13+R13+S13+T13,0))</f>
        <v/>
      </c>
      <c r="V13" s="43" t="str">
        <f aca="false">IF($A13="","",ROUND(IFERROR(MAX(0,(INDEX('SET Settings'!$D$6:$D$12,MATCH(U13*12,'SET Settings'!$A$6:$A$12,1))+(U13*12-INDEX('SET Settings'!$A$6:$A$12,MATCH(U13*12,'SET Settings'!$A$6:$A$12,1)))*INDEX('SET Settings'!$C$6:$C$12,MATCH(U13*12,'SET Settings'!$A$6:$A$12,1))/100))/12,0),2))</f>
        <v/>
      </c>
      <c r="W13" s="43" t="str">
        <f aca="false">IF($A13="","",IFERROR(MIN(U13*'SET Settings'!$B$16,'SET Settings'!$B$18),0))</f>
        <v/>
      </c>
      <c r="X13" s="45"/>
      <c r="Y13" s="45"/>
      <c r="Z13" s="45"/>
      <c r="AA13" s="45"/>
      <c r="AB13" s="43" t="str">
        <f aca="false">IF($A13="","",IFERROR(V13+W13+X13+Y13+Z13+AA13,0))</f>
        <v/>
      </c>
      <c r="AC13" s="47" t="str">
        <f aca="false">IF($A13="","",IFERROR(U13-AB13,0))</f>
        <v/>
      </c>
      <c r="AD13" s="43" t="str">
        <f aca="false">IF($A13="","",IFERROR(VLOOKUP(A13,'HIST Monthly History'!$A:$O,15,0),0))</f>
        <v/>
      </c>
      <c r="AE13" s="43" t="str">
        <f aca="true">IF($A13="","",IFERROR(V13*MONTH(TODAY()),0))</f>
        <v/>
      </c>
      <c r="AF13" s="48" t="str">
        <f aca="false">IF(A13="","",IFERROR(VLOOKUP(A13,'EMP Employees'!$A:$V,13,0),""))</f>
        <v/>
      </c>
      <c r="AG13" s="48" t="str">
        <f aca="false">IF(A13="","",IFERROR(VLOOKUP(A13,'EMP Employees'!$A:$V,14,0),""))</f>
        <v/>
      </c>
      <c r="AH13" s="11"/>
      <c r="AI13" s="11"/>
      <c r="AJ13" s="11"/>
      <c r="AK13" s="11"/>
      <c r="AL13" s="11"/>
      <c r="AM13" s="11"/>
      <c r="AN13" s="11"/>
    </row>
    <row r="14" customFormat="false" ht="19.5" hidden="false" customHeight="true" outlineLevel="0" collapsed="false">
      <c r="A14" s="41"/>
      <c r="B14" s="42" t="str">
        <f aca="false">IF(A14="","",IFERROR(VLOOKUP(A14,'EMP Employees'!$A:$V,2,0),""))</f>
        <v/>
      </c>
      <c r="C14" s="42" t="str">
        <f aca="false">IF(A14="","",IFERROR(VLOOKUP(A14,'EMP Employees'!$A:$V,18,0),""))</f>
        <v/>
      </c>
      <c r="D14" s="43" t="str">
        <f aca="false">IF(A14="","",IFERROR(IF(C14="Hourly",VLOOKUP(A14,'EMP Employees'!$A:$V,19,0),IF(C14="Monthly",VLOOKUP(A14,'EMP Employees'!$A:$V,20,0)/'SET Settings'!$B$87,0)),0))</f>
        <v/>
      </c>
      <c r="E14" s="44"/>
      <c r="F14" s="44"/>
      <c r="G14" s="44"/>
      <c r="H14" s="44"/>
      <c r="I14" s="44"/>
      <c r="J14" s="44"/>
      <c r="K14" s="44"/>
      <c r="L14" s="43" t="str">
        <f aca="false">IF($A14="","",IFERROR(IF(C14="Monthly",VLOOKUP(A14,'EMP Employees'!$A:$V,20,0),0),0))</f>
        <v/>
      </c>
      <c r="M14" s="43" t="str">
        <f aca="false">IF($A14="","",IFERROR(E14*D14,0))</f>
        <v/>
      </c>
      <c r="N14" s="43" t="str">
        <f aca="false">IF($A14="","",IFERROR(F14*D14*'SET Settings'!$B$70,0))</f>
        <v/>
      </c>
      <c r="O14" s="43" t="str">
        <f aca="false">IF($A14="","",IFERROR(G14*D14*(1+'SET Settings'!$B$71),0))</f>
        <v/>
      </c>
      <c r="P14" s="43" t="str">
        <f aca="false">IF($A14="","",IFERROR(H14*D14*'SET Settings'!$B$72,0))</f>
        <v/>
      </c>
      <c r="Q14" s="43" t="str">
        <f aca="false">IF($A14="","",IFERROR(I14*D14*'SET Settings'!$B$73,0))</f>
        <v/>
      </c>
      <c r="R14" s="43" t="str">
        <f aca="false">IF($A14="","",IFERROR(J14*D14*'SET Settings'!$B$74,0))</f>
        <v/>
      </c>
      <c r="S14" s="45"/>
      <c r="T14" s="45"/>
      <c r="U14" s="46" t="str">
        <f aca="false">IF($A14="","",IFERROR(L14+M14+N14+O14+P14+Q14+R14+S14+T14,0))</f>
        <v/>
      </c>
      <c r="V14" s="43" t="str">
        <f aca="false">IF($A14="","",ROUND(IFERROR(MAX(0,(INDEX('SET Settings'!$D$6:$D$12,MATCH(U14*12,'SET Settings'!$A$6:$A$12,1))+(U14*12-INDEX('SET Settings'!$A$6:$A$12,MATCH(U14*12,'SET Settings'!$A$6:$A$12,1)))*INDEX('SET Settings'!$C$6:$C$12,MATCH(U14*12,'SET Settings'!$A$6:$A$12,1))/100))/12,0),2))</f>
        <v/>
      </c>
      <c r="W14" s="43" t="str">
        <f aca="false">IF($A14="","",IFERROR(MIN(U14*'SET Settings'!$B$16,'SET Settings'!$B$18),0))</f>
        <v/>
      </c>
      <c r="X14" s="45"/>
      <c r="Y14" s="45"/>
      <c r="Z14" s="45"/>
      <c r="AA14" s="45"/>
      <c r="AB14" s="43" t="str">
        <f aca="false">IF($A14="","",IFERROR(V14+W14+X14+Y14+Z14+AA14,0))</f>
        <v/>
      </c>
      <c r="AC14" s="47" t="str">
        <f aca="false">IF($A14="","",IFERROR(U14-AB14,0))</f>
        <v/>
      </c>
      <c r="AD14" s="43" t="str">
        <f aca="false">IF($A14="","",IFERROR(VLOOKUP(A14,'HIST Monthly History'!$A:$O,15,0),0))</f>
        <v/>
      </c>
      <c r="AE14" s="43" t="str">
        <f aca="true">IF($A14="","",IFERROR(V14*MONTH(TODAY()),0))</f>
        <v/>
      </c>
      <c r="AF14" s="48" t="str">
        <f aca="false">IF(A14="","",IFERROR(VLOOKUP(A14,'EMP Employees'!$A:$V,13,0),""))</f>
        <v/>
      </c>
      <c r="AG14" s="48" t="str">
        <f aca="false">IF(A14="","",IFERROR(VLOOKUP(A14,'EMP Employees'!$A:$V,14,0),""))</f>
        <v/>
      </c>
      <c r="AH14" s="11"/>
      <c r="AI14" s="11"/>
      <c r="AJ14" s="11"/>
      <c r="AK14" s="11"/>
      <c r="AL14" s="11"/>
      <c r="AM14" s="11"/>
      <c r="AN14" s="11"/>
    </row>
    <row r="15" customFormat="false" ht="15" hidden="false" customHeight="true" outlineLevel="0" collapsed="false">
      <c r="A15" s="41"/>
      <c r="B15" s="42" t="str">
        <f aca="false">IF(A15="","",IFERROR(VLOOKUP(A15,'EMP Employees'!$A:$V,2,0),""))</f>
        <v/>
      </c>
      <c r="C15" s="42" t="str">
        <f aca="false">IF(A15="","",IFERROR(VLOOKUP(A15,'EMP Employees'!$A:$V,18,0),""))</f>
        <v/>
      </c>
      <c r="D15" s="43" t="str">
        <f aca="false">IF(A15="","",IFERROR(IF(C15="Hourly",VLOOKUP(A15,'EMP Employees'!$A:$V,19,0),IF(C15="Monthly",VLOOKUP(A15,'EMP Employees'!$A:$V,20,0)/'SET Settings'!$B$87,0)),0))</f>
        <v/>
      </c>
      <c r="E15" s="44"/>
      <c r="F15" s="44"/>
      <c r="G15" s="44"/>
      <c r="H15" s="44"/>
      <c r="I15" s="44"/>
      <c r="J15" s="44"/>
      <c r="K15" s="44"/>
      <c r="L15" s="43" t="str">
        <f aca="false">IF($A15="","",IFERROR(IF(C15="Monthly",VLOOKUP(A15,'EMP Employees'!$A:$V,20,0),0),0))</f>
        <v/>
      </c>
      <c r="M15" s="43" t="str">
        <f aca="false">IF($A15="","",IFERROR(E15*D15,0))</f>
        <v/>
      </c>
      <c r="N15" s="43" t="str">
        <f aca="false">IF($A15="","",IFERROR(F15*D15*'SET Settings'!$B$70,0))</f>
        <v/>
      </c>
      <c r="O15" s="43" t="str">
        <f aca="false">IF($A15="","",IFERROR(G15*D15*(1+'SET Settings'!$B$71),0))</f>
        <v/>
      </c>
      <c r="P15" s="43" t="str">
        <f aca="false">IF($A15="","",IFERROR(H15*D15*'SET Settings'!$B$72,0))</f>
        <v/>
      </c>
      <c r="Q15" s="43" t="str">
        <f aca="false">IF($A15="","",IFERROR(I15*D15*'SET Settings'!$B$73,0))</f>
        <v/>
      </c>
      <c r="R15" s="43" t="str">
        <f aca="false">IF($A15="","",IFERROR(J15*D15*'SET Settings'!$B$74,0))</f>
        <v/>
      </c>
      <c r="S15" s="45"/>
      <c r="T15" s="45"/>
      <c r="U15" s="46" t="str">
        <f aca="false">IF($A15="","",IFERROR(L15+M15+N15+O15+P15+Q15+R15+S15+T15,0))</f>
        <v/>
      </c>
      <c r="V15" s="43" t="str">
        <f aca="false">IF($A15="","",ROUND(IFERROR(MAX(0,(INDEX('SET Settings'!$D$6:$D$12,MATCH(U15*12,'SET Settings'!$A$6:$A$12,1))+(U15*12-INDEX('SET Settings'!$A$6:$A$12,MATCH(U15*12,'SET Settings'!$A$6:$A$12,1)))*INDEX('SET Settings'!$C$6:$C$12,MATCH(U15*12,'SET Settings'!$A$6:$A$12,1))/100))/12,0),2))</f>
        <v/>
      </c>
      <c r="W15" s="43" t="str">
        <f aca="false">IF($A15="","",IFERROR(MIN(U15*'SET Settings'!$B$16,'SET Settings'!$B$18),0))</f>
        <v/>
      </c>
      <c r="X15" s="45"/>
      <c r="Y15" s="45"/>
      <c r="Z15" s="45"/>
      <c r="AA15" s="45"/>
      <c r="AB15" s="43" t="str">
        <f aca="false">IF($A15="","",IFERROR(V15+W15+X15+Y15+Z15+AA15,0))</f>
        <v/>
      </c>
      <c r="AC15" s="47" t="str">
        <f aca="false">IF($A15="","",IFERROR(U15-AB15,0))</f>
        <v/>
      </c>
      <c r="AD15" s="43" t="str">
        <f aca="false">IF($A15="","",IFERROR(VLOOKUP(A15,'HIST Monthly History'!$A:$O,15,0),0))</f>
        <v/>
      </c>
      <c r="AE15" s="43" t="str">
        <f aca="true">IF($A15="","",IFERROR(V15*MONTH(TODAY()),0))</f>
        <v/>
      </c>
      <c r="AF15" s="48" t="str">
        <f aca="false">IF(A15="","",IFERROR(VLOOKUP(A15,'EMP Employees'!$A:$V,13,0),""))</f>
        <v/>
      </c>
      <c r="AG15" s="48" t="str">
        <f aca="false">IF(A15="","",IFERROR(VLOOKUP(A15,'EMP Employees'!$A:$V,14,0),""))</f>
        <v/>
      </c>
      <c r="AH15" s="11"/>
      <c r="AI15" s="11"/>
      <c r="AJ15" s="11"/>
      <c r="AK15" s="11"/>
      <c r="AL15" s="11"/>
      <c r="AM15" s="11"/>
      <c r="AN15" s="11"/>
    </row>
    <row r="16" customFormat="false" ht="18" hidden="false" customHeight="true" outlineLevel="0" collapsed="false">
      <c r="A16" s="41"/>
      <c r="B16" s="42" t="str">
        <f aca="false">IF(A16="","",IFERROR(VLOOKUP(A16,'EMP Employees'!$A:$V,2,0),""))</f>
        <v/>
      </c>
      <c r="C16" s="42" t="str">
        <f aca="false">IF(A16="","",IFERROR(VLOOKUP(A16,'EMP Employees'!$A:$V,18,0),""))</f>
        <v/>
      </c>
      <c r="D16" s="43" t="str">
        <f aca="false">IF(A16="","",IFERROR(IF(C16="Hourly",VLOOKUP(A16,'EMP Employees'!$A:$V,19,0),IF(C16="Monthly",VLOOKUP(A16,'EMP Employees'!$A:$V,20,0)/'SET Settings'!$B$87,0)),0))</f>
        <v/>
      </c>
      <c r="E16" s="44"/>
      <c r="F16" s="44"/>
      <c r="G16" s="44"/>
      <c r="H16" s="44"/>
      <c r="I16" s="44"/>
      <c r="J16" s="44"/>
      <c r="K16" s="44"/>
      <c r="L16" s="43" t="str">
        <f aca="false">IF($A16="","",IFERROR(IF(C16="Monthly",VLOOKUP(A16,'EMP Employees'!$A:$V,20,0),0),0))</f>
        <v/>
      </c>
      <c r="M16" s="43" t="str">
        <f aca="false">IF($A16="","",IFERROR(E16*D16,0))</f>
        <v/>
      </c>
      <c r="N16" s="43" t="str">
        <f aca="false">IF($A16="","",IFERROR(F16*D16*'SET Settings'!$B$70,0))</f>
        <v/>
      </c>
      <c r="O16" s="43" t="str">
        <f aca="false">IF($A16="","",IFERROR(G16*D16*(1+'SET Settings'!$B$71),0))</f>
        <v/>
      </c>
      <c r="P16" s="43" t="str">
        <f aca="false">IF($A16="","",IFERROR(H16*D16*'SET Settings'!$B$72,0))</f>
        <v/>
      </c>
      <c r="Q16" s="43" t="str">
        <f aca="false">IF($A16="","",IFERROR(I16*D16*'SET Settings'!$B$73,0))</f>
        <v/>
      </c>
      <c r="R16" s="43" t="str">
        <f aca="false">IF($A16="","",IFERROR(J16*D16*'SET Settings'!$B$74,0))</f>
        <v/>
      </c>
      <c r="S16" s="45"/>
      <c r="T16" s="45"/>
      <c r="U16" s="46" t="str">
        <f aca="false">IF($A16="","",IFERROR(L16+M16+N16+O16+P16+Q16+R16+S16+T16,0))</f>
        <v/>
      </c>
      <c r="V16" s="43" t="str">
        <f aca="false">IF($A16="","",ROUND(IFERROR(MAX(0,(INDEX('SET Settings'!$D$6:$D$12,MATCH(U16*12,'SET Settings'!$A$6:$A$12,1))+(U16*12-INDEX('SET Settings'!$A$6:$A$12,MATCH(U16*12,'SET Settings'!$A$6:$A$12,1)))*INDEX('SET Settings'!$C$6:$C$12,MATCH(U16*12,'SET Settings'!$A$6:$A$12,1))/100))/12,0),2))</f>
        <v/>
      </c>
      <c r="W16" s="43" t="str">
        <f aca="false">IF($A16="","",IFERROR(MIN(U16*'SET Settings'!$B$16,'SET Settings'!$B$18),0))</f>
        <v/>
      </c>
      <c r="X16" s="45"/>
      <c r="Y16" s="45"/>
      <c r="Z16" s="45"/>
      <c r="AA16" s="45"/>
      <c r="AB16" s="43" t="str">
        <f aca="false">IF($A16="","",IFERROR(V16+W16+X16+Y16+Z16+AA16,0))</f>
        <v/>
      </c>
      <c r="AC16" s="47" t="str">
        <f aca="false">IF($A16="","",IFERROR(U16-AB16,0))</f>
        <v/>
      </c>
      <c r="AD16" s="43" t="str">
        <f aca="false">IF($A16="","",IFERROR(VLOOKUP(A16,'HIST Monthly History'!$A:$O,15,0),0))</f>
        <v/>
      </c>
      <c r="AE16" s="43" t="str">
        <f aca="true">IF($A16="","",IFERROR(V16*MONTH(TODAY()),0))</f>
        <v/>
      </c>
      <c r="AF16" s="48" t="str">
        <f aca="false">IF(A16="","",IFERROR(VLOOKUP(A16,'EMP Employees'!$A:$V,13,0),""))</f>
        <v/>
      </c>
      <c r="AG16" s="48" t="str">
        <f aca="false">IF(A16="","",IFERROR(VLOOKUP(A16,'EMP Employees'!$A:$V,14,0),""))</f>
        <v/>
      </c>
      <c r="AH16" s="11"/>
      <c r="AI16" s="11"/>
      <c r="AJ16" s="11"/>
      <c r="AK16" s="11"/>
      <c r="AL16" s="11"/>
      <c r="AM16" s="11"/>
      <c r="AN16" s="11"/>
    </row>
    <row r="17" customFormat="false" ht="15" hidden="false" customHeight="true" outlineLevel="0" collapsed="false">
      <c r="A17" s="41"/>
      <c r="B17" s="42" t="str">
        <f aca="false">IF(A17="","",IFERROR(VLOOKUP(A17,'EMP Employees'!$A:$V,2,0),""))</f>
        <v/>
      </c>
      <c r="C17" s="42" t="str">
        <f aca="false">IF(A17="","",IFERROR(VLOOKUP(A17,'EMP Employees'!$A:$V,18,0),""))</f>
        <v/>
      </c>
      <c r="D17" s="43" t="str">
        <f aca="false">IF(A17="","",IFERROR(IF(C17="Hourly",VLOOKUP(A17,'EMP Employees'!$A:$V,19,0),IF(C17="Monthly",VLOOKUP(A17,'EMP Employees'!$A:$V,20,0)/'SET Settings'!$B$87,0)),0))</f>
        <v/>
      </c>
      <c r="E17" s="44"/>
      <c r="F17" s="44"/>
      <c r="G17" s="44"/>
      <c r="H17" s="44"/>
      <c r="I17" s="44"/>
      <c r="J17" s="44"/>
      <c r="K17" s="44"/>
      <c r="L17" s="43" t="str">
        <f aca="false">IF($A17="","",IFERROR(IF(C17="Monthly",VLOOKUP(A17,'EMP Employees'!$A:$V,20,0),0),0))</f>
        <v/>
      </c>
      <c r="M17" s="43" t="str">
        <f aca="false">IF($A17="","",IFERROR(E17*D17,0))</f>
        <v/>
      </c>
      <c r="N17" s="43" t="str">
        <f aca="false">IF($A17="","",IFERROR(F17*D17*'SET Settings'!$B$70,0))</f>
        <v/>
      </c>
      <c r="O17" s="43" t="str">
        <f aca="false">IF($A17="","",IFERROR(G17*D17*(1+'SET Settings'!$B$71),0))</f>
        <v/>
      </c>
      <c r="P17" s="43" t="str">
        <f aca="false">IF($A17="","",IFERROR(H17*D17*'SET Settings'!$B$72,0))</f>
        <v/>
      </c>
      <c r="Q17" s="43" t="str">
        <f aca="false">IF($A17="","",IFERROR(I17*D17*'SET Settings'!$B$73,0))</f>
        <v/>
      </c>
      <c r="R17" s="43" t="str">
        <f aca="false">IF($A17="","",IFERROR(J17*D17*'SET Settings'!$B$74,0))</f>
        <v/>
      </c>
      <c r="S17" s="45"/>
      <c r="T17" s="45"/>
      <c r="U17" s="46" t="str">
        <f aca="false">IF($A17="","",IFERROR(L17+M17+N17+O17+P17+Q17+R17+S17+T17,0))</f>
        <v/>
      </c>
      <c r="V17" s="43" t="str">
        <f aca="false">IF($A17="","",ROUND(IFERROR(MAX(0,(INDEX('SET Settings'!$D$6:$D$12,MATCH(U17*12,'SET Settings'!$A$6:$A$12,1))+(U17*12-INDEX('SET Settings'!$A$6:$A$12,MATCH(U17*12,'SET Settings'!$A$6:$A$12,1)))*INDEX('SET Settings'!$C$6:$C$12,MATCH(U17*12,'SET Settings'!$A$6:$A$12,1))/100))/12,0),2))</f>
        <v/>
      </c>
      <c r="W17" s="43" t="str">
        <f aca="false">IF($A17="","",IFERROR(MIN(U17*'SET Settings'!$B$16,'SET Settings'!$B$18),0))</f>
        <v/>
      </c>
      <c r="X17" s="45"/>
      <c r="Y17" s="45"/>
      <c r="Z17" s="45"/>
      <c r="AA17" s="45"/>
      <c r="AB17" s="43" t="str">
        <f aca="false">IF($A17="","",IFERROR(V17+W17+X17+Y17+Z17+AA17,0))</f>
        <v/>
      </c>
      <c r="AC17" s="47" t="str">
        <f aca="false">IF($A17="","",IFERROR(U17-AB17,0))</f>
        <v/>
      </c>
      <c r="AD17" s="43" t="str">
        <f aca="false">IF($A17="","",IFERROR(VLOOKUP(A17,'HIST Monthly History'!$A:$O,15,0),0))</f>
        <v/>
      </c>
      <c r="AE17" s="43" t="str">
        <f aca="true">IF($A17="","",IFERROR(V17*MONTH(TODAY()),0))</f>
        <v/>
      </c>
      <c r="AF17" s="48" t="str">
        <f aca="false">IF(A17="","",IFERROR(VLOOKUP(A17,'EMP Employees'!$A:$V,13,0),""))</f>
        <v/>
      </c>
      <c r="AG17" s="48" t="str">
        <f aca="false">IF(A17="","",IFERROR(VLOOKUP(A17,'EMP Employees'!$A:$V,14,0),""))</f>
        <v/>
      </c>
      <c r="AH17" s="11"/>
      <c r="AI17" s="11"/>
      <c r="AJ17" s="11"/>
      <c r="AK17" s="11"/>
      <c r="AL17" s="11"/>
      <c r="AM17" s="11"/>
      <c r="AN17" s="11"/>
    </row>
    <row r="18" customFormat="false" ht="15" hidden="false" customHeight="true" outlineLevel="0" collapsed="false">
      <c r="A18" s="41"/>
      <c r="B18" s="42" t="str">
        <f aca="false">IF(A18="","",IFERROR(VLOOKUP(A18,'EMP Employees'!$A:$V,2,0),""))</f>
        <v/>
      </c>
      <c r="C18" s="42" t="str">
        <f aca="false">IF(A18="","",IFERROR(VLOOKUP(A18,'EMP Employees'!$A:$V,18,0),""))</f>
        <v/>
      </c>
      <c r="D18" s="43" t="str">
        <f aca="false">IF(A18="","",IFERROR(IF(C18="Hourly",VLOOKUP(A18,'EMP Employees'!$A:$V,19,0),IF(C18="Monthly",VLOOKUP(A18,'EMP Employees'!$A:$V,20,0)/'SET Settings'!$B$87,0)),0))</f>
        <v/>
      </c>
      <c r="E18" s="44"/>
      <c r="F18" s="44"/>
      <c r="G18" s="44"/>
      <c r="H18" s="44"/>
      <c r="I18" s="44"/>
      <c r="J18" s="44"/>
      <c r="K18" s="44"/>
      <c r="L18" s="43" t="str">
        <f aca="false">IF($A18="","",IFERROR(IF(C18="Monthly",VLOOKUP(A18,'EMP Employees'!$A:$V,20,0),0),0))</f>
        <v/>
      </c>
      <c r="M18" s="43" t="str">
        <f aca="false">IF($A18="","",IFERROR(E18*D18,0))</f>
        <v/>
      </c>
      <c r="N18" s="43" t="str">
        <f aca="false">IF($A18="","",IFERROR(F18*D18*'SET Settings'!$B$70,0))</f>
        <v/>
      </c>
      <c r="O18" s="43" t="str">
        <f aca="false">IF($A18="","",IFERROR(G18*D18*(1+'SET Settings'!$B$71),0))</f>
        <v/>
      </c>
      <c r="P18" s="43" t="str">
        <f aca="false">IF($A18="","",IFERROR(H18*D18*'SET Settings'!$B$72,0))</f>
        <v/>
      </c>
      <c r="Q18" s="43" t="str">
        <f aca="false">IF($A18="","",IFERROR(I18*D18*'SET Settings'!$B$73,0))</f>
        <v/>
      </c>
      <c r="R18" s="43" t="str">
        <f aca="false">IF($A18="","",IFERROR(J18*D18*'SET Settings'!$B$74,0))</f>
        <v/>
      </c>
      <c r="S18" s="45"/>
      <c r="T18" s="45"/>
      <c r="U18" s="46" t="str">
        <f aca="false">IF($A18="","",IFERROR(L18+M18+N18+O18+P18+Q18+R18+S18+T18,0))</f>
        <v/>
      </c>
      <c r="V18" s="43" t="str">
        <f aca="false">IF($A18="","",ROUND(IFERROR(MAX(0,(INDEX('SET Settings'!$D$6:$D$12,MATCH(U18*12,'SET Settings'!$A$6:$A$12,1))+(U18*12-INDEX('SET Settings'!$A$6:$A$12,MATCH(U18*12,'SET Settings'!$A$6:$A$12,1)))*INDEX('SET Settings'!$C$6:$C$12,MATCH(U18*12,'SET Settings'!$A$6:$A$12,1))/100))/12,0),2))</f>
        <v/>
      </c>
      <c r="W18" s="43" t="str">
        <f aca="false">IF($A18="","",IFERROR(MIN(U18*'SET Settings'!$B$16,'SET Settings'!$B$18),0))</f>
        <v/>
      </c>
      <c r="X18" s="45"/>
      <c r="Y18" s="45"/>
      <c r="Z18" s="45"/>
      <c r="AA18" s="45"/>
      <c r="AB18" s="43" t="str">
        <f aca="false">IF($A18="","",IFERROR(V18+W18+X18+Y18+Z18+AA18,0))</f>
        <v/>
      </c>
      <c r="AC18" s="47" t="str">
        <f aca="false">IF($A18="","",IFERROR(U18-AB18,0))</f>
        <v/>
      </c>
      <c r="AD18" s="43" t="str">
        <f aca="false">IF($A18="","",IFERROR(VLOOKUP(A18,'HIST Monthly History'!$A:$O,15,0),0))</f>
        <v/>
      </c>
      <c r="AE18" s="43" t="str">
        <f aca="true">IF($A18="","",IFERROR(V18*MONTH(TODAY()),0))</f>
        <v/>
      </c>
      <c r="AF18" s="48" t="str">
        <f aca="false">IF(A18="","",IFERROR(VLOOKUP(A18,'EMP Employees'!$A:$V,13,0),""))</f>
        <v/>
      </c>
      <c r="AG18" s="48" t="str">
        <f aca="false">IF(A18="","",IFERROR(VLOOKUP(A18,'EMP Employees'!$A:$V,14,0),""))</f>
        <v/>
      </c>
      <c r="AH18" s="11"/>
      <c r="AI18" s="11"/>
      <c r="AJ18" s="11"/>
      <c r="AK18" s="11"/>
      <c r="AL18" s="11"/>
      <c r="AM18" s="11"/>
      <c r="AN18" s="11"/>
    </row>
    <row r="19" customFormat="false" ht="15" hidden="false" customHeight="true" outlineLevel="0" collapsed="false">
      <c r="A19" s="41"/>
      <c r="B19" s="42" t="str">
        <f aca="false">IF(A19="","",IFERROR(VLOOKUP(A19,'EMP Employees'!$A:$V,2,0),""))</f>
        <v/>
      </c>
      <c r="C19" s="42" t="str">
        <f aca="false">IF(A19="","",IFERROR(VLOOKUP(A19,'EMP Employees'!$A:$V,18,0),""))</f>
        <v/>
      </c>
      <c r="D19" s="43" t="str">
        <f aca="false">IF(A19="","",IFERROR(IF(C19="Hourly",VLOOKUP(A19,'EMP Employees'!$A:$V,19,0),IF(C19="Monthly",VLOOKUP(A19,'EMP Employees'!$A:$V,20,0)/'SET Settings'!$B$87,0)),0))</f>
        <v/>
      </c>
      <c r="E19" s="44"/>
      <c r="F19" s="44"/>
      <c r="G19" s="44"/>
      <c r="H19" s="44"/>
      <c r="I19" s="44"/>
      <c r="J19" s="44"/>
      <c r="K19" s="44"/>
      <c r="L19" s="43" t="str">
        <f aca="false">IF($A19="","",IFERROR(IF(C19="Monthly",VLOOKUP(A19,'EMP Employees'!$A:$V,20,0),0),0))</f>
        <v/>
      </c>
      <c r="M19" s="43" t="str">
        <f aca="false">IF($A19="","",IFERROR(E19*D19,0))</f>
        <v/>
      </c>
      <c r="N19" s="43" t="str">
        <f aca="false">IF($A19="","",IFERROR(F19*D19*'SET Settings'!$B$70,0))</f>
        <v/>
      </c>
      <c r="O19" s="43" t="str">
        <f aca="false">IF($A19="","",IFERROR(G19*D19*(1+'SET Settings'!$B$71),0))</f>
        <v/>
      </c>
      <c r="P19" s="43" t="str">
        <f aca="false">IF($A19="","",IFERROR(H19*D19*'SET Settings'!$B$72,0))</f>
        <v/>
      </c>
      <c r="Q19" s="43" t="str">
        <f aca="false">IF($A19="","",IFERROR(I19*D19*'SET Settings'!$B$73,0))</f>
        <v/>
      </c>
      <c r="R19" s="43" t="str">
        <f aca="false">IF($A19="","",IFERROR(J19*D19*'SET Settings'!$B$74,0))</f>
        <v/>
      </c>
      <c r="S19" s="45"/>
      <c r="T19" s="45"/>
      <c r="U19" s="46" t="str">
        <f aca="false">IF($A19="","",IFERROR(L19+M19+N19+O19+P19+Q19+R19+S19+T19,0))</f>
        <v/>
      </c>
      <c r="V19" s="43" t="str">
        <f aca="false">IF($A19="","",ROUND(IFERROR(MAX(0,(INDEX('SET Settings'!$D$6:$D$12,MATCH(U19*12,'SET Settings'!$A$6:$A$12,1))+(U19*12-INDEX('SET Settings'!$A$6:$A$12,MATCH(U19*12,'SET Settings'!$A$6:$A$12,1)))*INDEX('SET Settings'!$C$6:$C$12,MATCH(U19*12,'SET Settings'!$A$6:$A$12,1))/100))/12,0),2))</f>
        <v/>
      </c>
      <c r="W19" s="43" t="str">
        <f aca="false">IF($A19="","",IFERROR(MIN(U19*'SET Settings'!$B$16,'SET Settings'!$B$18),0))</f>
        <v/>
      </c>
      <c r="X19" s="45"/>
      <c r="Y19" s="45"/>
      <c r="Z19" s="45"/>
      <c r="AA19" s="45"/>
      <c r="AB19" s="43" t="str">
        <f aca="false">IF($A19="","",IFERROR(V19+W19+X19+Y19+Z19+AA19,0))</f>
        <v/>
      </c>
      <c r="AC19" s="47" t="str">
        <f aca="false">IF($A19="","",IFERROR(U19-AB19,0))</f>
        <v/>
      </c>
      <c r="AD19" s="43" t="str">
        <f aca="false">IF($A19="","",IFERROR(VLOOKUP(A19,'HIST Monthly History'!$A:$O,15,0),0))</f>
        <v/>
      </c>
      <c r="AE19" s="43" t="str">
        <f aca="true">IF($A19="","",IFERROR(V19*MONTH(TODAY()),0))</f>
        <v/>
      </c>
      <c r="AF19" s="48" t="str">
        <f aca="false">IF(A19="","",IFERROR(VLOOKUP(A19,'EMP Employees'!$A:$V,13,0),""))</f>
        <v/>
      </c>
      <c r="AG19" s="48" t="str">
        <f aca="false">IF(A19="","",IFERROR(VLOOKUP(A19,'EMP Employees'!$A:$V,14,0),""))</f>
        <v/>
      </c>
      <c r="AH19" s="11"/>
      <c r="AI19" s="11"/>
      <c r="AJ19" s="11"/>
      <c r="AK19" s="11"/>
      <c r="AL19" s="11"/>
      <c r="AM19" s="11"/>
      <c r="AN19" s="11"/>
    </row>
    <row r="20" customFormat="false" ht="15" hidden="false" customHeight="true" outlineLevel="0" collapsed="false">
      <c r="A20" s="41"/>
      <c r="B20" s="42" t="str">
        <f aca="false">IF(A20="","",IFERROR(VLOOKUP(A20,'EMP Employees'!$A:$V,2,0),""))</f>
        <v/>
      </c>
      <c r="C20" s="42" t="str">
        <f aca="false">IF(A20="","",IFERROR(VLOOKUP(A20,'EMP Employees'!$A:$V,18,0),""))</f>
        <v/>
      </c>
      <c r="D20" s="43" t="str">
        <f aca="false">IF(A20="","",IFERROR(IF(C20="Hourly",VLOOKUP(A20,'EMP Employees'!$A:$V,19,0),IF(C20="Monthly",VLOOKUP(A20,'EMP Employees'!$A:$V,20,0)/'SET Settings'!$B$87,0)),0))</f>
        <v/>
      </c>
      <c r="E20" s="44"/>
      <c r="F20" s="44"/>
      <c r="G20" s="44"/>
      <c r="H20" s="44"/>
      <c r="I20" s="44"/>
      <c r="J20" s="44"/>
      <c r="K20" s="44"/>
      <c r="L20" s="43" t="str">
        <f aca="false">IF($A20="","",IFERROR(IF(C20="Monthly",VLOOKUP(A20,'EMP Employees'!$A:$V,20,0),0),0))</f>
        <v/>
      </c>
      <c r="M20" s="43" t="str">
        <f aca="false">IF($A20="","",IFERROR(E20*D20,0))</f>
        <v/>
      </c>
      <c r="N20" s="43" t="str">
        <f aca="false">IF($A20="","",IFERROR(F20*D20*'SET Settings'!$B$70,0))</f>
        <v/>
      </c>
      <c r="O20" s="43" t="str">
        <f aca="false">IF($A20="","",IFERROR(G20*D20*(1+'SET Settings'!$B$71),0))</f>
        <v/>
      </c>
      <c r="P20" s="43" t="str">
        <f aca="false">IF($A20="","",IFERROR(H20*D20*'SET Settings'!$B$72,0))</f>
        <v/>
      </c>
      <c r="Q20" s="43" t="str">
        <f aca="false">IF($A20="","",IFERROR(I20*D20*'SET Settings'!$B$73,0))</f>
        <v/>
      </c>
      <c r="R20" s="43" t="str">
        <f aca="false">IF($A20="","",IFERROR(J20*D20*'SET Settings'!$B$74,0))</f>
        <v/>
      </c>
      <c r="S20" s="45"/>
      <c r="T20" s="45"/>
      <c r="U20" s="46" t="str">
        <f aca="false">IF($A20="","",IFERROR(L20+M20+N20+O20+P20+Q20+R20+S20+T20,0))</f>
        <v/>
      </c>
      <c r="V20" s="43" t="str">
        <f aca="false">IF($A20="","",ROUND(IFERROR(MAX(0,(INDEX('SET Settings'!$D$6:$D$12,MATCH(U20*12,'SET Settings'!$A$6:$A$12,1))+(U20*12-INDEX('SET Settings'!$A$6:$A$12,MATCH(U20*12,'SET Settings'!$A$6:$A$12,1)))*INDEX('SET Settings'!$C$6:$C$12,MATCH(U20*12,'SET Settings'!$A$6:$A$12,1))/100))/12,0),2))</f>
        <v/>
      </c>
      <c r="W20" s="43" t="str">
        <f aca="false">IF($A20="","",IFERROR(MIN(U20*'SET Settings'!$B$16,'SET Settings'!$B$18),0))</f>
        <v/>
      </c>
      <c r="X20" s="45"/>
      <c r="Y20" s="45"/>
      <c r="Z20" s="45"/>
      <c r="AA20" s="45"/>
      <c r="AB20" s="43" t="str">
        <f aca="false">IF($A20="","",IFERROR(V20+W20+X20+Y20+Z20+AA20,0))</f>
        <v/>
      </c>
      <c r="AC20" s="47" t="str">
        <f aca="false">IF($A20="","",IFERROR(U20-AB20,0))</f>
        <v/>
      </c>
      <c r="AD20" s="43" t="str">
        <f aca="false">IF($A20="","",IFERROR(VLOOKUP(A20,'HIST Monthly History'!$A:$O,15,0),0))</f>
        <v/>
      </c>
      <c r="AE20" s="43" t="str">
        <f aca="true">IF($A20="","",IFERROR(V20*MONTH(TODAY()),0))</f>
        <v/>
      </c>
      <c r="AF20" s="48" t="str">
        <f aca="false">IF(A20="","",IFERROR(VLOOKUP(A20,'EMP Employees'!$A:$V,13,0),""))</f>
        <v/>
      </c>
      <c r="AG20" s="48" t="str">
        <f aca="false">IF(A20="","",IFERROR(VLOOKUP(A20,'EMP Employees'!$A:$V,14,0),""))</f>
        <v/>
      </c>
      <c r="AH20" s="11"/>
      <c r="AI20" s="11"/>
      <c r="AJ20" s="11"/>
      <c r="AK20" s="11"/>
      <c r="AL20" s="11"/>
      <c r="AM20" s="11"/>
      <c r="AN20" s="11"/>
    </row>
    <row r="21" customFormat="false" ht="15" hidden="false" customHeight="true" outlineLevel="0" collapsed="false">
      <c r="A21" s="41"/>
      <c r="B21" s="42" t="str">
        <f aca="false">IF(A21="","",IFERROR(VLOOKUP(A21,'EMP Employees'!$A:$V,2,0),""))</f>
        <v/>
      </c>
      <c r="C21" s="42" t="str">
        <f aca="false">IF(A21="","",IFERROR(VLOOKUP(A21,'EMP Employees'!$A:$V,18,0),""))</f>
        <v/>
      </c>
      <c r="D21" s="43" t="str">
        <f aca="false">IF(A21="","",IFERROR(IF(C21="Hourly",VLOOKUP(A21,'EMP Employees'!$A:$V,19,0),IF(C21="Monthly",VLOOKUP(A21,'EMP Employees'!$A:$V,20,0)/'SET Settings'!$B$87,0)),0))</f>
        <v/>
      </c>
      <c r="E21" s="44"/>
      <c r="F21" s="44"/>
      <c r="G21" s="44"/>
      <c r="H21" s="44"/>
      <c r="I21" s="44"/>
      <c r="J21" s="44"/>
      <c r="K21" s="44"/>
      <c r="L21" s="43" t="str">
        <f aca="false">IF($A21="","",IFERROR(IF(C21="Monthly",VLOOKUP(A21,'EMP Employees'!$A:$V,20,0),0),0))</f>
        <v/>
      </c>
      <c r="M21" s="43" t="str">
        <f aca="false">IF($A21="","",IFERROR(E21*D21,0))</f>
        <v/>
      </c>
      <c r="N21" s="43" t="str">
        <f aca="false">IF($A21="","",IFERROR(F21*D21*'SET Settings'!$B$70,0))</f>
        <v/>
      </c>
      <c r="O21" s="43" t="str">
        <f aca="false">IF($A21="","",IFERROR(G21*D21*(1+'SET Settings'!$B$71),0))</f>
        <v/>
      </c>
      <c r="P21" s="43" t="str">
        <f aca="false">IF($A21="","",IFERROR(H21*D21*'SET Settings'!$B$72,0))</f>
        <v/>
      </c>
      <c r="Q21" s="43" t="str">
        <f aca="false">IF($A21="","",IFERROR(I21*D21*'SET Settings'!$B$73,0))</f>
        <v/>
      </c>
      <c r="R21" s="43" t="str">
        <f aca="false">IF($A21="","",IFERROR(J21*D21*'SET Settings'!$B$74,0))</f>
        <v/>
      </c>
      <c r="S21" s="45"/>
      <c r="T21" s="45"/>
      <c r="U21" s="46" t="str">
        <f aca="false">IF($A21="","",IFERROR(L21+M21+N21+O21+P21+Q21+R21+S21+T21,0))</f>
        <v/>
      </c>
      <c r="V21" s="43" t="str">
        <f aca="false">IF($A21="","",ROUND(IFERROR(MAX(0,(INDEX('SET Settings'!$D$6:$D$12,MATCH(U21*12,'SET Settings'!$A$6:$A$12,1))+(U21*12-INDEX('SET Settings'!$A$6:$A$12,MATCH(U21*12,'SET Settings'!$A$6:$A$12,1)))*INDEX('SET Settings'!$C$6:$C$12,MATCH(U21*12,'SET Settings'!$A$6:$A$12,1))/100))/12,0),2))</f>
        <v/>
      </c>
      <c r="W21" s="43" t="str">
        <f aca="false">IF($A21="","",IFERROR(MIN(U21*'SET Settings'!$B$16,'SET Settings'!$B$18),0))</f>
        <v/>
      </c>
      <c r="X21" s="45"/>
      <c r="Y21" s="45"/>
      <c r="Z21" s="45"/>
      <c r="AA21" s="45"/>
      <c r="AB21" s="43" t="str">
        <f aca="false">IF($A21="","",IFERROR(V21+W21+X21+Y21+Z21+AA21,0))</f>
        <v/>
      </c>
      <c r="AC21" s="47" t="str">
        <f aca="false">IF($A21="","",IFERROR(U21-AB21,0))</f>
        <v/>
      </c>
      <c r="AD21" s="43" t="str">
        <f aca="false">IF($A21="","",IFERROR(VLOOKUP(A21,'HIST Monthly History'!$A:$O,15,0),0))</f>
        <v/>
      </c>
      <c r="AE21" s="43" t="str">
        <f aca="true">IF($A21="","",IFERROR(V21*MONTH(TODAY()),0))</f>
        <v/>
      </c>
      <c r="AF21" s="48" t="str">
        <f aca="false">IF(A21="","",IFERROR(VLOOKUP(A21,'EMP Employees'!$A:$V,13,0),""))</f>
        <v/>
      </c>
      <c r="AG21" s="48" t="str">
        <f aca="false">IF(A21="","",IFERROR(VLOOKUP(A21,'EMP Employees'!$A:$V,14,0),""))</f>
        <v/>
      </c>
      <c r="AH21" s="11"/>
      <c r="AI21" s="11"/>
      <c r="AJ21" s="11"/>
      <c r="AK21" s="11"/>
      <c r="AL21" s="11"/>
      <c r="AM21" s="11"/>
      <c r="AN21" s="11"/>
    </row>
    <row r="22" customFormat="false" ht="15" hidden="false" customHeight="true" outlineLevel="0" collapsed="false">
      <c r="A22" s="41"/>
      <c r="B22" s="42" t="str">
        <f aca="false">IF(A22="","",IFERROR(VLOOKUP(A22,'EMP Employees'!$A:$V,2,0),""))</f>
        <v/>
      </c>
      <c r="C22" s="42" t="str">
        <f aca="false">IF(A22="","",IFERROR(VLOOKUP(A22,'EMP Employees'!$A:$V,18,0),""))</f>
        <v/>
      </c>
      <c r="D22" s="43" t="str">
        <f aca="false">IF(A22="","",IFERROR(IF(C22="Hourly",VLOOKUP(A22,'EMP Employees'!$A:$V,19,0),IF(C22="Monthly",VLOOKUP(A22,'EMP Employees'!$A:$V,20,0)/'SET Settings'!$B$87,0)),0))</f>
        <v/>
      </c>
      <c r="E22" s="44"/>
      <c r="F22" s="44"/>
      <c r="G22" s="44"/>
      <c r="H22" s="44"/>
      <c r="I22" s="44"/>
      <c r="J22" s="44"/>
      <c r="K22" s="44"/>
      <c r="L22" s="43" t="str">
        <f aca="false">IF($A22="","",IFERROR(IF(C22="Monthly",VLOOKUP(A22,'EMP Employees'!$A:$V,20,0),0),0))</f>
        <v/>
      </c>
      <c r="M22" s="43" t="str">
        <f aca="false">IF($A22="","",IFERROR(E22*D22,0))</f>
        <v/>
      </c>
      <c r="N22" s="43" t="str">
        <f aca="false">IF($A22="","",IFERROR(F22*D22*'SET Settings'!$B$70,0))</f>
        <v/>
      </c>
      <c r="O22" s="43" t="str">
        <f aca="false">IF($A22="","",IFERROR(G22*D22*(1+'SET Settings'!$B$71),0))</f>
        <v/>
      </c>
      <c r="P22" s="43" t="str">
        <f aca="false">IF($A22="","",IFERROR(H22*D22*'SET Settings'!$B$72,0))</f>
        <v/>
      </c>
      <c r="Q22" s="43" t="str">
        <f aca="false">IF($A22="","",IFERROR(I22*D22*'SET Settings'!$B$73,0))</f>
        <v/>
      </c>
      <c r="R22" s="43" t="str">
        <f aca="false">IF($A22="","",IFERROR(J22*D22*'SET Settings'!$B$74,0))</f>
        <v/>
      </c>
      <c r="S22" s="45"/>
      <c r="T22" s="45"/>
      <c r="U22" s="46" t="str">
        <f aca="false">IF($A22="","",IFERROR(L22+M22+N22+O22+P22+Q22+R22+S22+T22,0))</f>
        <v/>
      </c>
      <c r="V22" s="43" t="str">
        <f aca="false">IF($A22="","",ROUND(IFERROR(MAX(0,(INDEX('SET Settings'!$D$6:$D$12,MATCH(U22*12,'SET Settings'!$A$6:$A$12,1))+(U22*12-INDEX('SET Settings'!$A$6:$A$12,MATCH(U22*12,'SET Settings'!$A$6:$A$12,1)))*INDEX('SET Settings'!$C$6:$C$12,MATCH(U22*12,'SET Settings'!$A$6:$A$12,1))/100))/12,0),2))</f>
        <v/>
      </c>
      <c r="W22" s="43" t="str">
        <f aca="false">IF($A22="","",IFERROR(MIN(U22*'SET Settings'!$B$16,'SET Settings'!$B$18),0))</f>
        <v/>
      </c>
      <c r="X22" s="45"/>
      <c r="Y22" s="45"/>
      <c r="Z22" s="45"/>
      <c r="AA22" s="45"/>
      <c r="AB22" s="43" t="str">
        <f aca="false">IF($A22="","",IFERROR(V22+W22+X22+Y22+Z22+AA22,0))</f>
        <v/>
      </c>
      <c r="AC22" s="47" t="str">
        <f aca="false">IF($A22="","",IFERROR(U22-AB22,0))</f>
        <v/>
      </c>
      <c r="AD22" s="43" t="str">
        <f aca="false">IF($A22="","",IFERROR(VLOOKUP(A22,'HIST Monthly History'!$A:$O,15,0),0))</f>
        <v/>
      </c>
      <c r="AE22" s="43" t="str">
        <f aca="true">IF($A22="","",IFERROR(V22*MONTH(TODAY()),0))</f>
        <v/>
      </c>
      <c r="AF22" s="48" t="str">
        <f aca="false">IF(A22="","",IFERROR(VLOOKUP(A22,'EMP Employees'!$A:$V,13,0),""))</f>
        <v/>
      </c>
      <c r="AG22" s="48" t="str">
        <f aca="false">IF(A22="","",IFERROR(VLOOKUP(A22,'EMP Employees'!$A:$V,14,0),""))</f>
        <v/>
      </c>
      <c r="AH22" s="11"/>
      <c r="AI22" s="11"/>
      <c r="AJ22" s="11"/>
      <c r="AK22" s="11"/>
      <c r="AL22" s="11"/>
      <c r="AM22" s="11"/>
      <c r="AN22" s="11"/>
    </row>
    <row r="23" customFormat="false" ht="15" hidden="false" customHeight="true" outlineLevel="0" collapsed="false">
      <c r="A23" s="41"/>
      <c r="B23" s="42" t="str">
        <f aca="false">IF(A23="","",IFERROR(VLOOKUP(A23,'EMP Employees'!$A:$V,2,0),""))</f>
        <v/>
      </c>
      <c r="C23" s="42" t="str">
        <f aca="false">IF(A23="","",IFERROR(VLOOKUP(A23,'EMP Employees'!$A:$V,18,0),""))</f>
        <v/>
      </c>
      <c r="D23" s="43" t="str">
        <f aca="false">IF(A23="","",IFERROR(IF(C23="Hourly",VLOOKUP(A23,'EMP Employees'!$A:$V,19,0),IF(C23="Monthly",VLOOKUP(A23,'EMP Employees'!$A:$V,20,0)/'SET Settings'!$B$87,0)),0))</f>
        <v/>
      </c>
      <c r="E23" s="44"/>
      <c r="F23" s="44"/>
      <c r="G23" s="44"/>
      <c r="H23" s="44"/>
      <c r="I23" s="44"/>
      <c r="J23" s="44"/>
      <c r="K23" s="44"/>
      <c r="L23" s="43" t="str">
        <f aca="false">IF($A23="","",IFERROR(IF(C23="Monthly",VLOOKUP(A23,'EMP Employees'!$A:$V,20,0),0),0))</f>
        <v/>
      </c>
      <c r="M23" s="43" t="str">
        <f aca="false">IF($A23="","",IFERROR(E23*D23,0))</f>
        <v/>
      </c>
      <c r="N23" s="43" t="str">
        <f aca="false">IF($A23="","",IFERROR(F23*D23*'SET Settings'!$B$70,0))</f>
        <v/>
      </c>
      <c r="O23" s="43" t="str">
        <f aca="false">IF($A23="","",IFERROR(G23*D23*(1+'SET Settings'!$B$71),0))</f>
        <v/>
      </c>
      <c r="P23" s="43" t="str">
        <f aca="false">IF($A23="","",IFERROR(H23*D23*'SET Settings'!$B$72,0))</f>
        <v/>
      </c>
      <c r="Q23" s="43" t="str">
        <f aca="false">IF($A23="","",IFERROR(I23*D23*'SET Settings'!$B$73,0))</f>
        <v/>
      </c>
      <c r="R23" s="43" t="str">
        <f aca="false">IF($A23="","",IFERROR(J23*D23*'SET Settings'!$B$74,0))</f>
        <v/>
      </c>
      <c r="S23" s="45"/>
      <c r="T23" s="45"/>
      <c r="U23" s="46" t="str">
        <f aca="false">IF($A23="","",IFERROR(L23+M23+N23+O23+P23+Q23+R23+S23+T23,0))</f>
        <v/>
      </c>
      <c r="V23" s="43" t="str">
        <f aca="false">IF($A23="","",ROUND(IFERROR(MAX(0,(INDEX('SET Settings'!$D$6:$D$12,MATCH(U23*12,'SET Settings'!$A$6:$A$12,1))+(U23*12-INDEX('SET Settings'!$A$6:$A$12,MATCH(U23*12,'SET Settings'!$A$6:$A$12,1)))*INDEX('SET Settings'!$C$6:$C$12,MATCH(U23*12,'SET Settings'!$A$6:$A$12,1))/100))/12,0),2))</f>
        <v/>
      </c>
      <c r="W23" s="43" t="str">
        <f aca="false">IF($A23="","",IFERROR(MIN(U23*'SET Settings'!$B$16,'SET Settings'!$B$18),0))</f>
        <v/>
      </c>
      <c r="X23" s="45"/>
      <c r="Y23" s="45"/>
      <c r="Z23" s="45"/>
      <c r="AA23" s="45"/>
      <c r="AB23" s="43" t="str">
        <f aca="false">IF($A23="","",IFERROR(V23+W23+X23+Y23+Z23+AA23,0))</f>
        <v/>
      </c>
      <c r="AC23" s="47" t="str">
        <f aca="false">IF($A23="","",IFERROR(U23-AB23,0))</f>
        <v/>
      </c>
      <c r="AD23" s="43" t="str">
        <f aca="false">IF($A23="","",IFERROR(VLOOKUP(A23,'HIST Monthly History'!$A:$O,15,0),0))</f>
        <v/>
      </c>
      <c r="AE23" s="43" t="str">
        <f aca="true">IF($A23="","",IFERROR(V23*MONTH(TODAY()),0))</f>
        <v/>
      </c>
      <c r="AF23" s="48" t="str">
        <f aca="false">IF(A23="","",IFERROR(VLOOKUP(A23,'EMP Employees'!$A:$V,13,0),""))</f>
        <v/>
      </c>
      <c r="AG23" s="48" t="str">
        <f aca="false">IF(A23="","",IFERROR(VLOOKUP(A23,'EMP Employees'!$A:$V,14,0),""))</f>
        <v/>
      </c>
      <c r="AH23" s="11"/>
      <c r="AI23" s="11"/>
      <c r="AJ23" s="11"/>
      <c r="AK23" s="11"/>
      <c r="AL23" s="11"/>
      <c r="AM23" s="11"/>
      <c r="AN23" s="11"/>
    </row>
    <row r="24" customFormat="false" ht="15" hidden="false" customHeight="true" outlineLevel="0" collapsed="false">
      <c r="A24" s="41"/>
      <c r="B24" s="42" t="str">
        <f aca="false">IF(A24="","",IFERROR(VLOOKUP(A24,'EMP Employees'!$A:$V,2,0),""))</f>
        <v/>
      </c>
      <c r="C24" s="42" t="str">
        <f aca="false">IF(A24="","",IFERROR(VLOOKUP(A24,'EMP Employees'!$A:$V,18,0),""))</f>
        <v/>
      </c>
      <c r="D24" s="43" t="str">
        <f aca="false">IF(A24="","",IFERROR(IF(C24="Hourly",VLOOKUP(A24,'EMP Employees'!$A:$V,19,0),IF(C24="Monthly",VLOOKUP(A24,'EMP Employees'!$A:$V,20,0)/'SET Settings'!$B$87,0)),0))</f>
        <v/>
      </c>
      <c r="E24" s="44"/>
      <c r="F24" s="44"/>
      <c r="G24" s="44"/>
      <c r="H24" s="44"/>
      <c r="I24" s="44"/>
      <c r="J24" s="44"/>
      <c r="K24" s="44"/>
      <c r="L24" s="43" t="str">
        <f aca="false">IF($A24="","",IFERROR(IF(C24="Monthly",VLOOKUP(A24,'EMP Employees'!$A:$V,20,0),0),0))</f>
        <v/>
      </c>
      <c r="M24" s="43" t="str">
        <f aca="false">IF($A24="","",IFERROR(E24*D24,0))</f>
        <v/>
      </c>
      <c r="N24" s="43" t="str">
        <f aca="false">IF($A24="","",IFERROR(F24*D24*'SET Settings'!$B$70,0))</f>
        <v/>
      </c>
      <c r="O24" s="43" t="str">
        <f aca="false">IF($A24="","",IFERROR(G24*D24*(1+'SET Settings'!$B$71),0))</f>
        <v/>
      </c>
      <c r="P24" s="43" t="str">
        <f aca="false">IF($A24="","",IFERROR(H24*D24*'SET Settings'!$B$72,0))</f>
        <v/>
      </c>
      <c r="Q24" s="43" t="str">
        <f aca="false">IF($A24="","",IFERROR(I24*D24*'SET Settings'!$B$73,0))</f>
        <v/>
      </c>
      <c r="R24" s="43" t="str">
        <f aca="false">IF($A24="","",IFERROR(J24*D24*'SET Settings'!$B$74,0))</f>
        <v/>
      </c>
      <c r="S24" s="45"/>
      <c r="T24" s="45"/>
      <c r="U24" s="46" t="str">
        <f aca="false">IF($A24="","",IFERROR(L24+M24+N24+O24+P24+Q24+R24+S24+T24,0))</f>
        <v/>
      </c>
      <c r="V24" s="43" t="str">
        <f aca="false">IF($A24="","",ROUND(IFERROR(MAX(0,(INDEX('SET Settings'!$D$6:$D$12,MATCH(U24*12,'SET Settings'!$A$6:$A$12,1))+(U24*12-INDEX('SET Settings'!$A$6:$A$12,MATCH(U24*12,'SET Settings'!$A$6:$A$12,1)))*INDEX('SET Settings'!$C$6:$C$12,MATCH(U24*12,'SET Settings'!$A$6:$A$12,1))/100))/12,0),2))</f>
        <v/>
      </c>
      <c r="W24" s="43" t="str">
        <f aca="false">IF($A24="","",IFERROR(MIN(U24*'SET Settings'!$B$16,'SET Settings'!$B$18),0))</f>
        <v/>
      </c>
      <c r="X24" s="45"/>
      <c r="Y24" s="45"/>
      <c r="Z24" s="45"/>
      <c r="AA24" s="45"/>
      <c r="AB24" s="43" t="str">
        <f aca="false">IF($A24="","",IFERROR(V24+W24+X24+Y24+Z24+AA24,0))</f>
        <v/>
      </c>
      <c r="AC24" s="47" t="str">
        <f aca="false">IF($A24="","",IFERROR(U24-AB24,0))</f>
        <v/>
      </c>
      <c r="AD24" s="43" t="str">
        <f aca="false">IF($A24="","",IFERROR(VLOOKUP(A24,'HIST Monthly History'!$A:$O,15,0),0))</f>
        <v/>
      </c>
      <c r="AE24" s="43" t="str">
        <f aca="true">IF($A24="","",IFERROR(V24*MONTH(TODAY()),0))</f>
        <v/>
      </c>
      <c r="AF24" s="48" t="str">
        <f aca="false">IF(A24="","",IFERROR(VLOOKUP(A24,'EMP Employees'!$A:$V,13,0),""))</f>
        <v/>
      </c>
      <c r="AG24" s="48" t="str">
        <f aca="false">IF(A24="","",IFERROR(VLOOKUP(A24,'EMP Employees'!$A:$V,14,0),""))</f>
        <v/>
      </c>
      <c r="AH24" s="11"/>
      <c r="AI24" s="11"/>
      <c r="AJ24" s="11"/>
      <c r="AK24" s="11"/>
      <c r="AL24" s="11"/>
      <c r="AM24" s="11"/>
      <c r="AN24" s="11"/>
    </row>
    <row r="25" customFormat="false" ht="15" hidden="false" customHeight="true" outlineLevel="0" collapsed="false">
      <c r="A25" s="41"/>
      <c r="B25" s="42" t="str">
        <f aca="false">IF(A25="","",IFERROR(VLOOKUP(A25,'EMP Employees'!$A:$V,2,0),""))</f>
        <v/>
      </c>
      <c r="C25" s="42" t="str">
        <f aca="false">IF(A25="","",IFERROR(VLOOKUP(A25,'EMP Employees'!$A:$V,18,0),""))</f>
        <v/>
      </c>
      <c r="D25" s="43" t="str">
        <f aca="false">IF(A25="","",IFERROR(IF(C25="Hourly",VLOOKUP(A25,'EMP Employees'!$A:$V,19,0),IF(C25="Monthly",VLOOKUP(A25,'EMP Employees'!$A:$V,20,0)/'SET Settings'!$B$87,0)),0))</f>
        <v/>
      </c>
      <c r="E25" s="44"/>
      <c r="F25" s="44"/>
      <c r="G25" s="44"/>
      <c r="H25" s="44"/>
      <c r="I25" s="44"/>
      <c r="J25" s="44"/>
      <c r="K25" s="44"/>
      <c r="L25" s="43" t="str">
        <f aca="false">IF($A25="","",IFERROR(IF(C25="Monthly",VLOOKUP(A25,'EMP Employees'!$A:$V,20,0),0),0))</f>
        <v/>
      </c>
      <c r="M25" s="43" t="str">
        <f aca="false">IF($A25="","",IFERROR(E25*D25,0))</f>
        <v/>
      </c>
      <c r="N25" s="43" t="str">
        <f aca="false">IF($A25="","",IFERROR(F25*D25*'SET Settings'!$B$70,0))</f>
        <v/>
      </c>
      <c r="O25" s="43" t="str">
        <f aca="false">IF($A25="","",IFERROR(G25*D25*(1+'SET Settings'!$B$71),0))</f>
        <v/>
      </c>
      <c r="P25" s="43" t="str">
        <f aca="false">IF($A25="","",IFERROR(H25*D25*'SET Settings'!$B$72,0))</f>
        <v/>
      </c>
      <c r="Q25" s="43" t="str">
        <f aca="false">IF($A25="","",IFERROR(I25*D25*'SET Settings'!$B$73,0))</f>
        <v/>
      </c>
      <c r="R25" s="43" t="str">
        <f aca="false">IF($A25="","",IFERROR(J25*D25*'SET Settings'!$B$74,0))</f>
        <v/>
      </c>
      <c r="S25" s="45"/>
      <c r="T25" s="45"/>
      <c r="U25" s="46" t="str">
        <f aca="false">IF($A25="","",IFERROR(L25+M25+N25+O25+P25+Q25+R25+S25+T25,0))</f>
        <v/>
      </c>
      <c r="V25" s="43" t="str">
        <f aca="false">IF($A25="","",ROUND(IFERROR(MAX(0,(INDEX('SET Settings'!$D$6:$D$12,MATCH(U25*12,'SET Settings'!$A$6:$A$12,1))+(U25*12-INDEX('SET Settings'!$A$6:$A$12,MATCH(U25*12,'SET Settings'!$A$6:$A$12,1)))*INDEX('SET Settings'!$C$6:$C$12,MATCH(U25*12,'SET Settings'!$A$6:$A$12,1))/100))/12,0),2))</f>
        <v/>
      </c>
      <c r="W25" s="43" t="str">
        <f aca="false">IF($A25="","",IFERROR(MIN(U25*'SET Settings'!$B$16,'SET Settings'!$B$18),0))</f>
        <v/>
      </c>
      <c r="X25" s="45"/>
      <c r="Y25" s="45"/>
      <c r="Z25" s="45"/>
      <c r="AA25" s="45"/>
      <c r="AB25" s="43" t="str">
        <f aca="false">IF($A25="","",IFERROR(V25+W25+X25+Y25+Z25+AA25,0))</f>
        <v/>
      </c>
      <c r="AC25" s="47" t="str">
        <f aca="false">IF($A25="","",IFERROR(U25-AB25,0))</f>
        <v/>
      </c>
      <c r="AD25" s="43" t="str">
        <f aca="false">IF($A25="","",IFERROR(VLOOKUP(A25,'HIST Monthly History'!$A:$O,15,0),0))</f>
        <v/>
      </c>
      <c r="AE25" s="43" t="str">
        <f aca="true">IF($A25="","",IFERROR(V25*MONTH(TODAY()),0))</f>
        <v/>
      </c>
      <c r="AF25" s="48" t="str">
        <f aca="false">IF(A25="","",IFERROR(VLOOKUP(A25,'EMP Employees'!$A:$V,13,0),""))</f>
        <v/>
      </c>
      <c r="AG25" s="48" t="str">
        <f aca="false">IF(A25="","",IFERROR(VLOOKUP(A25,'EMP Employees'!$A:$V,14,0),""))</f>
        <v/>
      </c>
      <c r="AH25" s="11"/>
      <c r="AI25" s="11"/>
      <c r="AJ25" s="11"/>
      <c r="AK25" s="11"/>
      <c r="AL25" s="11"/>
      <c r="AM25" s="11"/>
      <c r="AN25" s="11"/>
    </row>
    <row r="26" customFormat="false" ht="15" hidden="false" customHeight="true" outlineLevel="0" collapsed="false">
      <c r="A26" s="41"/>
      <c r="B26" s="42" t="str">
        <f aca="false">IF(A26="","",IFERROR(VLOOKUP(A26,'EMP Employees'!$A:$V,2,0),""))</f>
        <v/>
      </c>
      <c r="C26" s="42" t="str">
        <f aca="false">IF(A26="","",IFERROR(VLOOKUP(A26,'EMP Employees'!$A:$V,18,0),""))</f>
        <v/>
      </c>
      <c r="D26" s="43" t="str">
        <f aca="false">IF(A26="","",IFERROR(IF(C26="Hourly",VLOOKUP(A26,'EMP Employees'!$A:$V,19,0),IF(C26="Monthly",VLOOKUP(A26,'EMP Employees'!$A:$V,20,0)/'SET Settings'!$B$87,0)),0))</f>
        <v/>
      </c>
      <c r="E26" s="44"/>
      <c r="F26" s="44"/>
      <c r="G26" s="44"/>
      <c r="H26" s="44"/>
      <c r="I26" s="44"/>
      <c r="J26" s="44"/>
      <c r="K26" s="44"/>
      <c r="L26" s="43" t="str">
        <f aca="false">IF($A26="","",IFERROR(IF(C26="Monthly",VLOOKUP(A26,'EMP Employees'!$A:$V,20,0),0),0))</f>
        <v/>
      </c>
      <c r="M26" s="43" t="str">
        <f aca="false">IF($A26="","",IFERROR(E26*D26,0))</f>
        <v/>
      </c>
      <c r="N26" s="43" t="str">
        <f aca="false">IF($A26="","",IFERROR(F26*D26*'SET Settings'!$B$70,0))</f>
        <v/>
      </c>
      <c r="O26" s="43" t="str">
        <f aca="false">IF($A26="","",IFERROR(G26*D26*(1+'SET Settings'!$B$71),0))</f>
        <v/>
      </c>
      <c r="P26" s="43" t="str">
        <f aca="false">IF($A26="","",IFERROR(H26*D26*'SET Settings'!$B$72,0))</f>
        <v/>
      </c>
      <c r="Q26" s="43" t="str">
        <f aca="false">IF($A26="","",IFERROR(I26*D26*'SET Settings'!$B$73,0))</f>
        <v/>
      </c>
      <c r="R26" s="43" t="str">
        <f aca="false">IF($A26="","",IFERROR(J26*D26*'SET Settings'!$B$74,0))</f>
        <v/>
      </c>
      <c r="S26" s="45"/>
      <c r="T26" s="45"/>
      <c r="U26" s="46" t="str">
        <f aca="false">IF($A26="","",IFERROR(L26+M26+N26+O26+P26+Q26+R26+S26+T26,0))</f>
        <v/>
      </c>
      <c r="V26" s="43" t="str">
        <f aca="false">IF($A26="","",ROUND(IFERROR(MAX(0,(INDEX('SET Settings'!$D$6:$D$12,MATCH(U26*12,'SET Settings'!$A$6:$A$12,1))+(U26*12-INDEX('SET Settings'!$A$6:$A$12,MATCH(U26*12,'SET Settings'!$A$6:$A$12,1)))*INDEX('SET Settings'!$C$6:$C$12,MATCH(U26*12,'SET Settings'!$A$6:$A$12,1))/100))/12,0),2))</f>
        <v/>
      </c>
      <c r="W26" s="43" t="str">
        <f aca="false">IF($A26="","",IFERROR(MIN(U26*'SET Settings'!$B$16,'SET Settings'!$B$18),0))</f>
        <v/>
      </c>
      <c r="X26" s="45"/>
      <c r="Y26" s="45"/>
      <c r="Z26" s="45"/>
      <c r="AA26" s="45"/>
      <c r="AB26" s="43" t="str">
        <f aca="false">IF($A26="","",IFERROR(V26+W26+X26+Y26+Z26+AA26,0))</f>
        <v/>
      </c>
      <c r="AC26" s="47" t="str">
        <f aca="false">IF($A26="","",IFERROR(U26-AB26,0))</f>
        <v/>
      </c>
      <c r="AD26" s="43" t="str">
        <f aca="false">IF($A26="","",IFERROR(VLOOKUP(A26,'HIST Monthly History'!$A:$O,15,0),0))</f>
        <v/>
      </c>
      <c r="AE26" s="43" t="str">
        <f aca="true">IF($A26="","",IFERROR(V26*MONTH(TODAY()),0))</f>
        <v/>
      </c>
      <c r="AF26" s="48" t="str">
        <f aca="false">IF(A26="","",IFERROR(VLOOKUP(A26,'EMP Employees'!$A:$V,13,0),""))</f>
        <v/>
      </c>
      <c r="AG26" s="48" t="str">
        <f aca="false">IF(A26="","",IFERROR(VLOOKUP(A26,'EMP Employees'!$A:$V,14,0),""))</f>
        <v/>
      </c>
      <c r="AH26" s="11"/>
      <c r="AI26" s="11"/>
      <c r="AJ26" s="11"/>
      <c r="AK26" s="11"/>
      <c r="AL26" s="11"/>
      <c r="AM26" s="11"/>
      <c r="AN26" s="11"/>
    </row>
    <row r="27" customFormat="false" ht="15" hidden="false" customHeight="true" outlineLevel="0" collapsed="false">
      <c r="A27" s="41"/>
      <c r="B27" s="42" t="str">
        <f aca="false">IF(A27="","",IFERROR(VLOOKUP(A27,'EMP Employees'!$A:$V,2,0),""))</f>
        <v/>
      </c>
      <c r="C27" s="42" t="str">
        <f aca="false">IF(A27="","",IFERROR(VLOOKUP(A27,'EMP Employees'!$A:$V,18,0),""))</f>
        <v/>
      </c>
      <c r="D27" s="43" t="str">
        <f aca="false">IF(A27="","",IFERROR(IF(C27="Hourly",VLOOKUP(A27,'EMP Employees'!$A:$V,19,0),IF(C27="Monthly",VLOOKUP(A27,'EMP Employees'!$A:$V,20,0)/'SET Settings'!$B$87,0)),0))</f>
        <v/>
      </c>
      <c r="E27" s="44"/>
      <c r="F27" s="44"/>
      <c r="G27" s="44"/>
      <c r="H27" s="44"/>
      <c r="I27" s="44"/>
      <c r="J27" s="44"/>
      <c r="K27" s="44"/>
      <c r="L27" s="43" t="str">
        <f aca="false">IF($A27="","",IFERROR(IF(C27="Monthly",VLOOKUP(A27,'EMP Employees'!$A:$V,20,0),0),0))</f>
        <v/>
      </c>
      <c r="M27" s="43" t="str">
        <f aca="false">IF($A27="","",IFERROR(E27*D27,0))</f>
        <v/>
      </c>
      <c r="N27" s="43" t="str">
        <f aca="false">IF($A27="","",IFERROR(F27*D27*'SET Settings'!$B$70,0))</f>
        <v/>
      </c>
      <c r="O27" s="43" t="str">
        <f aca="false">IF($A27="","",IFERROR(G27*D27*(1+'SET Settings'!$B$71),0))</f>
        <v/>
      </c>
      <c r="P27" s="43" t="str">
        <f aca="false">IF($A27="","",IFERROR(H27*D27*'SET Settings'!$B$72,0))</f>
        <v/>
      </c>
      <c r="Q27" s="43" t="str">
        <f aca="false">IF($A27="","",IFERROR(I27*D27*'SET Settings'!$B$73,0))</f>
        <v/>
      </c>
      <c r="R27" s="43" t="str">
        <f aca="false">IF($A27="","",IFERROR(J27*D27*'SET Settings'!$B$74,0))</f>
        <v/>
      </c>
      <c r="S27" s="45"/>
      <c r="T27" s="45"/>
      <c r="U27" s="46" t="str">
        <f aca="false">IF($A27="","",IFERROR(L27+M27+N27+O27+P27+Q27+R27+S27+T27,0))</f>
        <v/>
      </c>
      <c r="V27" s="43" t="str">
        <f aca="false">IF($A27="","",ROUND(IFERROR(MAX(0,(INDEX('SET Settings'!$D$6:$D$12,MATCH(U27*12,'SET Settings'!$A$6:$A$12,1))+(U27*12-INDEX('SET Settings'!$A$6:$A$12,MATCH(U27*12,'SET Settings'!$A$6:$A$12,1)))*INDEX('SET Settings'!$C$6:$C$12,MATCH(U27*12,'SET Settings'!$A$6:$A$12,1))/100))/12,0),2))</f>
        <v/>
      </c>
      <c r="W27" s="43" t="str">
        <f aca="false">IF($A27="","",IFERROR(MIN(U27*'SET Settings'!$B$16,'SET Settings'!$B$18),0))</f>
        <v/>
      </c>
      <c r="X27" s="45"/>
      <c r="Y27" s="45"/>
      <c r="Z27" s="45"/>
      <c r="AA27" s="45"/>
      <c r="AB27" s="43" t="str">
        <f aca="false">IF($A27="","",IFERROR(V27+W27+X27+Y27+Z27+AA27,0))</f>
        <v/>
      </c>
      <c r="AC27" s="47" t="str">
        <f aca="false">IF($A27="","",IFERROR(U27-AB27,0))</f>
        <v/>
      </c>
      <c r="AD27" s="43" t="str">
        <f aca="false">IF($A27="","",IFERROR(VLOOKUP(A27,'HIST Monthly History'!$A:$O,15,0),0))</f>
        <v/>
      </c>
      <c r="AE27" s="43" t="str">
        <f aca="true">IF($A27="","",IFERROR(V27*MONTH(TODAY()),0))</f>
        <v/>
      </c>
      <c r="AF27" s="48" t="str">
        <f aca="false">IF(A27="","",IFERROR(VLOOKUP(A27,'EMP Employees'!$A:$V,13,0),""))</f>
        <v/>
      </c>
      <c r="AG27" s="48" t="str">
        <f aca="false">IF(A27="","",IFERROR(VLOOKUP(A27,'EMP Employees'!$A:$V,14,0),""))</f>
        <v/>
      </c>
      <c r="AH27" s="11"/>
      <c r="AI27" s="11"/>
      <c r="AJ27" s="11"/>
      <c r="AK27" s="11"/>
      <c r="AL27" s="11"/>
      <c r="AM27" s="11"/>
      <c r="AN27" s="11"/>
    </row>
    <row r="28" customFormat="false" ht="15" hidden="false" customHeight="true" outlineLevel="0" collapsed="false">
      <c r="A28" s="41"/>
      <c r="B28" s="42" t="str">
        <f aca="false">IF(A28="","",IFERROR(VLOOKUP(A28,'EMP Employees'!$A:$V,2,0),""))</f>
        <v/>
      </c>
      <c r="C28" s="42" t="str">
        <f aca="false">IF(A28="","",IFERROR(VLOOKUP(A28,'EMP Employees'!$A:$V,18,0),""))</f>
        <v/>
      </c>
      <c r="D28" s="43" t="str">
        <f aca="false">IF(A28="","",IFERROR(IF(C28="Hourly",VLOOKUP(A28,'EMP Employees'!$A:$V,19,0),IF(C28="Monthly",VLOOKUP(A28,'EMP Employees'!$A:$V,20,0)/'SET Settings'!$B$87,0)),0))</f>
        <v/>
      </c>
      <c r="E28" s="44"/>
      <c r="F28" s="44"/>
      <c r="G28" s="44"/>
      <c r="H28" s="44"/>
      <c r="I28" s="44"/>
      <c r="J28" s="44"/>
      <c r="K28" s="44"/>
      <c r="L28" s="43" t="str">
        <f aca="false">IF($A28="","",IFERROR(IF(C28="Monthly",VLOOKUP(A28,'EMP Employees'!$A:$V,20,0),0),0))</f>
        <v/>
      </c>
      <c r="M28" s="43" t="str">
        <f aca="false">IF($A28="","",IFERROR(E28*D28,0))</f>
        <v/>
      </c>
      <c r="N28" s="43" t="str">
        <f aca="false">IF($A28="","",IFERROR(F28*D28*'SET Settings'!$B$70,0))</f>
        <v/>
      </c>
      <c r="O28" s="43" t="str">
        <f aca="false">IF($A28="","",IFERROR(G28*D28*(1+'SET Settings'!$B$71),0))</f>
        <v/>
      </c>
      <c r="P28" s="43" t="str">
        <f aca="false">IF($A28="","",IFERROR(H28*D28*'SET Settings'!$B$72,0))</f>
        <v/>
      </c>
      <c r="Q28" s="43" t="str">
        <f aca="false">IF($A28="","",IFERROR(I28*D28*'SET Settings'!$B$73,0))</f>
        <v/>
      </c>
      <c r="R28" s="43" t="str">
        <f aca="false">IF($A28="","",IFERROR(J28*D28*'SET Settings'!$B$74,0))</f>
        <v/>
      </c>
      <c r="S28" s="45"/>
      <c r="T28" s="45"/>
      <c r="U28" s="46" t="str">
        <f aca="false">IF($A28="","",IFERROR(L28+M28+N28+O28+P28+Q28+R28+S28+T28,0))</f>
        <v/>
      </c>
      <c r="V28" s="43" t="str">
        <f aca="false">IF($A28="","",ROUND(IFERROR(MAX(0,(INDEX('SET Settings'!$D$6:$D$12,MATCH(U28*12,'SET Settings'!$A$6:$A$12,1))+(U28*12-INDEX('SET Settings'!$A$6:$A$12,MATCH(U28*12,'SET Settings'!$A$6:$A$12,1)))*INDEX('SET Settings'!$C$6:$C$12,MATCH(U28*12,'SET Settings'!$A$6:$A$12,1))/100))/12,0),2))</f>
        <v/>
      </c>
      <c r="W28" s="43" t="str">
        <f aca="false">IF($A28="","",IFERROR(MIN(U28*'SET Settings'!$B$16,'SET Settings'!$B$18),0))</f>
        <v/>
      </c>
      <c r="X28" s="45"/>
      <c r="Y28" s="45"/>
      <c r="Z28" s="45"/>
      <c r="AA28" s="45"/>
      <c r="AB28" s="43" t="str">
        <f aca="false">IF($A28="","",IFERROR(V28+W28+X28+Y28+Z28+AA28,0))</f>
        <v/>
      </c>
      <c r="AC28" s="47" t="str">
        <f aca="false">IF($A28="","",IFERROR(U28-AB28,0))</f>
        <v/>
      </c>
      <c r="AD28" s="43" t="str">
        <f aca="false">IF($A28="","",IFERROR(VLOOKUP(A28,'HIST Monthly History'!$A:$O,15,0),0))</f>
        <v/>
      </c>
      <c r="AE28" s="43" t="str">
        <f aca="true">IF($A28="","",IFERROR(V28*MONTH(TODAY()),0))</f>
        <v/>
      </c>
      <c r="AF28" s="48" t="str">
        <f aca="false">IF(A28="","",IFERROR(VLOOKUP(A28,'EMP Employees'!$A:$V,13,0),""))</f>
        <v/>
      </c>
      <c r="AG28" s="48" t="str">
        <f aca="false">IF(A28="","",IFERROR(VLOOKUP(A28,'EMP Employees'!$A:$V,14,0),""))</f>
        <v/>
      </c>
      <c r="AH28" s="11"/>
      <c r="AI28" s="11"/>
      <c r="AJ28" s="11"/>
      <c r="AK28" s="11"/>
      <c r="AL28" s="11"/>
      <c r="AM28" s="11"/>
      <c r="AN28" s="11"/>
    </row>
    <row r="29" customFormat="false" ht="15" hidden="false" customHeight="true" outlineLevel="0" collapsed="false">
      <c r="A29" s="41"/>
      <c r="B29" s="42" t="str">
        <f aca="false">IF(A29="","",IFERROR(VLOOKUP(A29,'EMP Employees'!$A:$V,2,0),""))</f>
        <v/>
      </c>
      <c r="C29" s="42" t="str">
        <f aca="false">IF(A29="","",IFERROR(VLOOKUP(A29,'EMP Employees'!$A:$V,18,0),""))</f>
        <v/>
      </c>
      <c r="D29" s="43" t="str">
        <f aca="false">IF(A29="","",IFERROR(IF(C29="Hourly",VLOOKUP(A29,'EMP Employees'!$A:$V,19,0),IF(C29="Monthly",VLOOKUP(A29,'EMP Employees'!$A:$V,20,0)/'SET Settings'!$B$87,0)),0))</f>
        <v/>
      </c>
      <c r="E29" s="44"/>
      <c r="F29" s="44"/>
      <c r="G29" s="44"/>
      <c r="H29" s="44"/>
      <c r="I29" s="44"/>
      <c r="J29" s="44"/>
      <c r="K29" s="44"/>
      <c r="L29" s="43" t="str">
        <f aca="false">IF($A29="","",IFERROR(IF(C29="Monthly",VLOOKUP(A29,'EMP Employees'!$A:$V,20,0),0),0))</f>
        <v/>
      </c>
      <c r="M29" s="43" t="str">
        <f aca="false">IF($A29="","",IFERROR(E29*D29,0))</f>
        <v/>
      </c>
      <c r="N29" s="43" t="str">
        <f aca="false">IF($A29="","",IFERROR(F29*D29*'SET Settings'!$B$70,0))</f>
        <v/>
      </c>
      <c r="O29" s="43" t="str">
        <f aca="false">IF($A29="","",IFERROR(G29*D29*(1+'SET Settings'!$B$71),0))</f>
        <v/>
      </c>
      <c r="P29" s="43" t="str">
        <f aca="false">IF($A29="","",IFERROR(H29*D29*'SET Settings'!$B$72,0))</f>
        <v/>
      </c>
      <c r="Q29" s="43" t="str">
        <f aca="false">IF($A29="","",IFERROR(I29*D29*'SET Settings'!$B$73,0))</f>
        <v/>
      </c>
      <c r="R29" s="43" t="str">
        <f aca="false">IF($A29="","",IFERROR(J29*D29*'SET Settings'!$B$74,0))</f>
        <v/>
      </c>
      <c r="S29" s="45"/>
      <c r="T29" s="45"/>
      <c r="U29" s="46" t="str">
        <f aca="false">IF($A29="","",IFERROR(L29+M29+N29+O29+P29+Q29+R29+S29+T29,0))</f>
        <v/>
      </c>
      <c r="V29" s="43" t="str">
        <f aca="false">IF($A29="","",ROUND(IFERROR(MAX(0,(INDEX('SET Settings'!$D$6:$D$12,MATCH(U29*12,'SET Settings'!$A$6:$A$12,1))+(U29*12-INDEX('SET Settings'!$A$6:$A$12,MATCH(U29*12,'SET Settings'!$A$6:$A$12,1)))*INDEX('SET Settings'!$C$6:$C$12,MATCH(U29*12,'SET Settings'!$A$6:$A$12,1))/100))/12,0),2))</f>
        <v/>
      </c>
      <c r="W29" s="43" t="str">
        <f aca="false">IF($A29="","",IFERROR(MIN(U29*'SET Settings'!$B$16,'SET Settings'!$B$18),0))</f>
        <v/>
      </c>
      <c r="X29" s="45"/>
      <c r="Y29" s="45"/>
      <c r="Z29" s="45"/>
      <c r="AA29" s="45"/>
      <c r="AB29" s="43" t="str">
        <f aca="false">IF($A29="","",IFERROR(V29+W29+X29+Y29+Z29+AA29,0))</f>
        <v/>
      </c>
      <c r="AC29" s="47" t="str">
        <f aca="false">IF($A29="","",IFERROR(U29-AB29,0))</f>
        <v/>
      </c>
      <c r="AD29" s="43" t="str">
        <f aca="false">IF($A29="","",IFERROR(VLOOKUP(A29,'HIST Monthly History'!$A:$O,15,0),0))</f>
        <v/>
      </c>
      <c r="AE29" s="43" t="str">
        <f aca="true">IF($A29="","",IFERROR(V29*MONTH(TODAY()),0))</f>
        <v/>
      </c>
      <c r="AF29" s="48" t="str">
        <f aca="false">IF(A29="","",IFERROR(VLOOKUP(A29,'EMP Employees'!$A:$V,13,0),""))</f>
        <v/>
      </c>
      <c r="AG29" s="48" t="str">
        <f aca="false">IF(A29="","",IFERROR(VLOOKUP(A29,'EMP Employees'!$A:$V,14,0),""))</f>
        <v/>
      </c>
      <c r="AH29" s="11"/>
      <c r="AI29" s="11"/>
      <c r="AJ29" s="11"/>
      <c r="AK29" s="11"/>
      <c r="AL29" s="11"/>
      <c r="AM29" s="11"/>
      <c r="AN29" s="11"/>
    </row>
    <row r="30" customFormat="false" ht="15" hidden="false" customHeight="true" outlineLevel="0" collapsed="false">
      <c r="A30" s="41"/>
      <c r="B30" s="42" t="str">
        <f aca="false">IF(A30="","",IFERROR(VLOOKUP(A30,'EMP Employees'!$A:$V,2,0),""))</f>
        <v/>
      </c>
      <c r="C30" s="42" t="str">
        <f aca="false">IF(A30="","",IFERROR(VLOOKUP(A30,'EMP Employees'!$A:$V,18,0),""))</f>
        <v/>
      </c>
      <c r="D30" s="43" t="str">
        <f aca="false">IF(A30="","",IFERROR(IF(C30="Hourly",VLOOKUP(A30,'EMP Employees'!$A:$V,19,0),IF(C30="Monthly",VLOOKUP(A30,'EMP Employees'!$A:$V,20,0)/'SET Settings'!$B$87,0)),0))</f>
        <v/>
      </c>
      <c r="E30" s="44"/>
      <c r="F30" s="44"/>
      <c r="G30" s="44"/>
      <c r="H30" s="44"/>
      <c r="I30" s="44"/>
      <c r="J30" s="44"/>
      <c r="K30" s="44"/>
      <c r="L30" s="43" t="str">
        <f aca="false">IF($A30="","",IFERROR(IF(C30="Monthly",VLOOKUP(A30,'EMP Employees'!$A:$V,20,0),0),0))</f>
        <v/>
      </c>
      <c r="M30" s="43" t="str">
        <f aca="false">IF($A30="","",IFERROR(E30*D30,0))</f>
        <v/>
      </c>
      <c r="N30" s="43" t="str">
        <f aca="false">IF($A30="","",IFERROR(F30*D30*'SET Settings'!$B$70,0))</f>
        <v/>
      </c>
      <c r="O30" s="43" t="str">
        <f aca="false">IF($A30="","",IFERROR(G30*D30*(1+'SET Settings'!$B$71),0))</f>
        <v/>
      </c>
      <c r="P30" s="43" t="str">
        <f aca="false">IF($A30="","",IFERROR(H30*D30*'SET Settings'!$B$72,0))</f>
        <v/>
      </c>
      <c r="Q30" s="43" t="str">
        <f aca="false">IF($A30="","",IFERROR(I30*D30*'SET Settings'!$B$73,0))</f>
        <v/>
      </c>
      <c r="R30" s="43" t="str">
        <f aca="false">IF($A30="","",IFERROR(J30*D30*'SET Settings'!$B$74,0))</f>
        <v/>
      </c>
      <c r="S30" s="45"/>
      <c r="T30" s="45"/>
      <c r="U30" s="46" t="str">
        <f aca="false">IF($A30="","",IFERROR(L30+M30+N30+O30+P30+Q30+R30+S30+T30,0))</f>
        <v/>
      </c>
      <c r="V30" s="43" t="str">
        <f aca="false">IF($A30="","",ROUND(IFERROR(MAX(0,(INDEX('SET Settings'!$D$6:$D$12,MATCH(U30*12,'SET Settings'!$A$6:$A$12,1))+(U30*12-INDEX('SET Settings'!$A$6:$A$12,MATCH(U30*12,'SET Settings'!$A$6:$A$12,1)))*INDEX('SET Settings'!$C$6:$C$12,MATCH(U30*12,'SET Settings'!$A$6:$A$12,1))/100))/12,0),2))</f>
        <v/>
      </c>
      <c r="W30" s="43" t="str">
        <f aca="false">IF($A30="","",IFERROR(MIN(U30*'SET Settings'!$B$16,'SET Settings'!$B$18),0))</f>
        <v/>
      </c>
      <c r="X30" s="45"/>
      <c r="Y30" s="45"/>
      <c r="Z30" s="45"/>
      <c r="AA30" s="45"/>
      <c r="AB30" s="43" t="str">
        <f aca="false">IF($A30="","",IFERROR(V30+W30+X30+Y30+Z30+AA30,0))</f>
        <v/>
      </c>
      <c r="AC30" s="47" t="str">
        <f aca="false">IF($A30="","",IFERROR(U30-AB30,0))</f>
        <v/>
      </c>
      <c r="AD30" s="43" t="str">
        <f aca="false">IF($A30="","",IFERROR(VLOOKUP(A30,'HIST Monthly History'!$A:$O,15,0),0))</f>
        <v/>
      </c>
      <c r="AE30" s="43" t="str">
        <f aca="true">IF($A30="","",IFERROR(V30*MONTH(TODAY()),0))</f>
        <v/>
      </c>
      <c r="AF30" s="48" t="str">
        <f aca="false">IF(A30="","",IFERROR(VLOOKUP(A30,'EMP Employees'!$A:$V,13,0),""))</f>
        <v/>
      </c>
      <c r="AG30" s="48" t="str">
        <f aca="false">IF(A30="","",IFERROR(VLOOKUP(A30,'EMP Employees'!$A:$V,14,0),""))</f>
        <v/>
      </c>
      <c r="AH30" s="11"/>
      <c r="AI30" s="11"/>
      <c r="AJ30" s="11"/>
      <c r="AK30" s="11"/>
      <c r="AL30" s="11"/>
      <c r="AM30" s="11"/>
      <c r="AN30" s="11"/>
    </row>
    <row r="31" customFormat="false" ht="15" hidden="false" customHeight="true" outlineLevel="0" collapsed="false">
      <c r="A31" s="41"/>
      <c r="B31" s="42" t="str">
        <f aca="false">IF(A31="","",IFERROR(VLOOKUP(A31,'EMP Employees'!$A:$V,2,0),""))</f>
        <v/>
      </c>
      <c r="C31" s="42" t="str">
        <f aca="false">IF(A31="","",IFERROR(VLOOKUP(A31,'EMP Employees'!$A:$V,18,0),""))</f>
        <v/>
      </c>
      <c r="D31" s="43" t="str">
        <f aca="false">IF(A31="","",IFERROR(IF(C31="Hourly",VLOOKUP(A31,'EMP Employees'!$A:$V,19,0),IF(C31="Monthly",VLOOKUP(A31,'EMP Employees'!$A:$V,20,0)/'SET Settings'!$B$87,0)),0))</f>
        <v/>
      </c>
      <c r="E31" s="44"/>
      <c r="F31" s="44"/>
      <c r="G31" s="44"/>
      <c r="H31" s="44"/>
      <c r="I31" s="44"/>
      <c r="J31" s="44"/>
      <c r="K31" s="44"/>
      <c r="L31" s="43" t="str">
        <f aca="false">IF($A31="","",IFERROR(IF(C31="Monthly",VLOOKUP(A31,'EMP Employees'!$A:$V,20,0),0),0))</f>
        <v/>
      </c>
      <c r="M31" s="43" t="str">
        <f aca="false">IF($A31="","",IFERROR(E31*D31,0))</f>
        <v/>
      </c>
      <c r="N31" s="43" t="str">
        <f aca="false">IF($A31="","",IFERROR(F31*D31*'SET Settings'!$B$70,0))</f>
        <v/>
      </c>
      <c r="O31" s="43" t="str">
        <f aca="false">IF($A31="","",IFERROR(G31*D31*(1+'SET Settings'!$B$71),0))</f>
        <v/>
      </c>
      <c r="P31" s="43" t="str">
        <f aca="false">IF($A31="","",IFERROR(H31*D31*'SET Settings'!$B$72,0))</f>
        <v/>
      </c>
      <c r="Q31" s="43" t="str">
        <f aca="false">IF($A31="","",IFERROR(I31*D31*'SET Settings'!$B$73,0))</f>
        <v/>
      </c>
      <c r="R31" s="43" t="str">
        <f aca="false">IF($A31="","",IFERROR(J31*D31*'SET Settings'!$B$74,0))</f>
        <v/>
      </c>
      <c r="S31" s="45"/>
      <c r="T31" s="45"/>
      <c r="U31" s="46" t="str">
        <f aca="false">IF($A31="","",IFERROR(L31+M31+N31+O31+P31+Q31+R31+S31+T31,0))</f>
        <v/>
      </c>
      <c r="V31" s="43" t="str">
        <f aca="false">IF($A31="","",ROUND(IFERROR(MAX(0,(INDEX('SET Settings'!$D$6:$D$12,MATCH(U31*12,'SET Settings'!$A$6:$A$12,1))+(U31*12-INDEX('SET Settings'!$A$6:$A$12,MATCH(U31*12,'SET Settings'!$A$6:$A$12,1)))*INDEX('SET Settings'!$C$6:$C$12,MATCH(U31*12,'SET Settings'!$A$6:$A$12,1))/100))/12,0),2))</f>
        <v/>
      </c>
      <c r="W31" s="43" t="str">
        <f aca="false">IF($A31="","",IFERROR(MIN(U31*'SET Settings'!$B$16,'SET Settings'!$B$18),0))</f>
        <v/>
      </c>
      <c r="X31" s="45"/>
      <c r="Y31" s="45"/>
      <c r="Z31" s="45"/>
      <c r="AA31" s="45"/>
      <c r="AB31" s="43" t="str">
        <f aca="false">IF($A31="","",IFERROR(V31+W31+X31+Y31+Z31+AA31,0))</f>
        <v/>
      </c>
      <c r="AC31" s="47" t="str">
        <f aca="false">IF($A31="","",IFERROR(U31-AB31,0))</f>
        <v/>
      </c>
      <c r="AD31" s="43" t="str">
        <f aca="false">IF($A31="","",IFERROR(VLOOKUP(A31,'HIST Monthly History'!$A:$O,15,0),0))</f>
        <v/>
      </c>
      <c r="AE31" s="43" t="str">
        <f aca="true">IF($A31="","",IFERROR(V31*MONTH(TODAY()),0))</f>
        <v/>
      </c>
      <c r="AF31" s="48" t="str">
        <f aca="false">IF(A31="","",IFERROR(VLOOKUP(A31,'EMP Employees'!$A:$V,13,0),""))</f>
        <v/>
      </c>
      <c r="AG31" s="48" t="str">
        <f aca="false">IF(A31="","",IFERROR(VLOOKUP(A31,'EMP Employees'!$A:$V,14,0),""))</f>
        <v/>
      </c>
      <c r="AH31" s="11"/>
      <c r="AI31" s="11"/>
      <c r="AJ31" s="11"/>
      <c r="AK31" s="11"/>
      <c r="AL31" s="11"/>
      <c r="AM31" s="11"/>
      <c r="AN31" s="11"/>
    </row>
    <row r="32" customFormat="false" ht="15" hidden="false" customHeight="true" outlineLevel="0" collapsed="false">
      <c r="A32" s="41"/>
      <c r="B32" s="42" t="str">
        <f aca="false">IF(A32="","",IFERROR(VLOOKUP(A32,'EMP Employees'!$A:$V,2,0),""))</f>
        <v/>
      </c>
      <c r="C32" s="42" t="str">
        <f aca="false">IF(A32="","",IFERROR(VLOOKUP(A32,'EMP Employees'!$A:$V,18,0),""))</f>
        <v/>
      </c>
      <c r="D32" s="43" t="str">
        <f aca="false">IF(A32="","",IFERROR(IF(C32="Hourly",VLOOKUP(A32,'EMP Employees'!$A:$V,19,0),IF(C32="Monthly",VLOOKUP(A32,'EMP Employees'!$A:$V,20,0)/'SET Settings'!$B$87,0)),0))</f>
        <v/>
      </c>
      <c r="E32" s="44"/>
      <c r="F32" s="44"/>
      <c r="G32" s="44"/>
      <c r="H32" s="44"/>
      <c r="I32" s="44"/>
      <c r="J32" s="44"/>
      <c r="K32" s="44"/>
      <c r="L32" s="43" t="str">
        <f aca="false">IF($A32="","",IFERROR(IF(C32="Monthly",VLOOKUP(A32,'EMP Employees'!$A:$V,20,0),0),0))</f>
        <v/>
      </c>
      <c r="M32" s="43" t="str">
        <f aca="false">IF($A32="","",IFERROR(E32*D32,0))</f>
        <v/>
      </c>
      <c r="N32" s="43" t="str">
        <f aca="false">IF($A32="","",IFERROR(F32*D32*'SET Settings'!$B$70,0))</f>
        <v/>
      </c>
      <c r="O32" s="43" t="str">
        <f aca="false">IF($A32="","",IFERROR(G32*D32*(1+'SET Settings'!$B$71),0))</f>
        <v/>
      </c>
      <c r="P32" s="43" t="str">
        <f aca="false">IF($A32="","",IFERROR(H32*D32*'SET Settings'!$B$72,0))</f>
        <v/>
      </c>
      <c r="Q32" s="43" t="str">
        <f aca="false">IF($A32="","",IFERROR(I32*D32*'SET Settings'!$B$73,0))</f>
        <v/>
      </c>
      <c r="R32" s="43" t="str">
        <f aca="false">IF($A32="","",IFERROR(J32*D32*'SET Settings'!$B$74,0))</f>
        <v/>
      </c>
      <c r="S32" s="45"/>
      <c r="T32" s="45"/>
      <c r="U32" s="46" t="str">
        <f aca="false">IF($A32="","",IFERROR(L32+M32+N32+O32+P32+Q32+R32+S32+T32,0))</f>
        <v/>
      </c>
      <c r="V32" s="43" t="str">
        <f aca="false">IF($A32="","",ROUND(IFERROR(MAX(0,(INDEX('SET Settings'!$D$6:$D$12,MATCH(U32*12,'SET Settings'!$A$6:$A$12,1))+(U32*12-INDEX('SET Settings'!$A$6:$A$12,MATCH(U32*12,'SET Settings'!$A$6:$A$12,1)))*INDEX('SET Settings'!$C$6:$C$12,MATCH(U32*12,'SET Settings'!$A$6:$A$12,1))/100))/12,0),2))</f>
        <v/>
      </c>
      <c r="W32" s="43" t="str">
        <f aca="false">IF($A32="","",IFERROR(MIN(U32*'SET Settings'!$B$16,'SET Settings'!$B$18),0))</f>
        <v/>
      </c>
      <c r="X32" s="45"/>
      <c r="Y32" s="45"/>
      <c r="Z32" s="45"/>
      <c r="AA32" s="45"/>
      <c r="AB32" s="43" t="str">
        <f aca="false">IF($A32="","",IFERROR(V32+W32+X32+Y32+Z32+AA32,0))</f>
        <v/>
      </c>
      <c r="AC32" s="47" t="str">
        <f aca="false">IF($A32="","",IFERROR(U32-AB32,0))</f>
        <v/>
      </c>
      <c r="AD32" s="43" t="str">
        <f aca="false">IF($A32="","",IFERROR(VLOOKUP(A32,'HIST Monthly History'!$A:$O,15,0),0))</f>
        <v/>
      </c>
      <c r="AE32" s="43" t="str">
        <f aca="true">IF($A32="","",IFERROR(V32*MONTH(TODAY()),0))</f>
        <v/>
      </c>
      <c r="AF32" s="48" t="str">
        <f aca="false">IF(A32="","",IFERROR(VLOOKUP(A32,'EMP Employees'!$A:$V,13,0),""))</f>
        <v/>
      </c>
      <c r="AG32" s="48" t="str">
        <f aca="false">IF(A32="","",IFERROR(VLOOKUP(A32,'EMP Employees'!$A:$V,14,0),""))</f>
        <v/>
      </c>
      <c r="AH32" s="11"/>
      <c r="AI32" s="11"/>
      <c r="AJ32" s="11"/>
      <c r="AK32" s="11"/>
      <c r="AL32" s="11"/>
      <c r="AM32" s="11"/>
      <c r="AN32" s="11"/>
    </row>
    <row r="33" customFormat="false" ht="15" hidden="false" customHeight="true" outlineLevel="0" collapsed="false">
      <c r="A33" s="41"/>
      <c r="B33" s="42" t="str">
        <f aca="false">IF(A33="","",IFERROR(VLOOKUP(A33,'EMP Employees'!$A:$V,2,0),""))</f>
        <v/>
      </c>
      <c r="C33" s="42" t="str">
        <f aca="false">IF(A33="","",IFERROR(VLOOKUP(A33,'EMP Employees'!$A:$V,18,0),""))</f>
        <v/>
      </c>
      <c r="D33" s="43" t="str">
        <f aca="false">IF(A33="","",IFERROR(IF(C33="Hourly",VLOOKUP(A33,'EMP Employees'!$A:$V,19,0),IF(C33="Monthly",VLOOKUP(A33,'EMP Employees'!$A:$V,20,0)/'SET Settings'!$B$87,0)),0))</f>
        <v/>
      </c>
      <c r="E33" s="44"/>
      <c r="F33" s="44"/>
      <c r="G33" s="44"/>
      <c r="H33" s="44"/>
      <c r="I33" s="44"/>
      <c r="J33" s="44"/>
      <c r="K33" s="44"/>
      <c r="L33" s="43" t="str">
        <f aca="false">IF($A33="","",IFERROR(IF(C33="Monthly",VLOOKUP(A33,'EMP Employees'!$A:$V,20,0),0),0))</f>
        <v/>
      </c>
      <c r="M33" s="43" t="str">
        <f aca="false">IF($A33="","",IFERROR(E33*D33,0))</f>
        <v/>
      </c>
      <c r="N33" s="43" t="str">
        <f aca="false">IF($A33="","",IFERROR(F33*D33*'SET Settings'!$B$70,0))</f>
        <v/>
      </c>
      <c r="O33" s="43" t="str">
        <f aca="false">IF($A33="","",IFERROR(G33*D33*(1+'SET Settings'!$B$71),0))</f>
        <v/>
      </c>
      <c r="P33" s="43" t="str">
        <f aca="false">IF($A33="","",IFERROR(H33*D33*'SET Settings'!$B$72,0))</f>
        <v/>
      </c>
      <c r="Q33" s="43" t="str">
        <f aca="false">IF($A33="","",IFERROR(I33*D33*'SET Settings'!$B$73,0))</f>
        <v/>
      </c>
      <c r="R33" s="43" t="str">
        <f aca="false">IF($A33="","",IFERROR(J33*D33*'SET Settings'!$B$74,0))</f>
        <v/>
      </c>
      <c r="S33" s="45"/>
      <c r="T33" s="45"/>
      <c r="U33" s="46" t="str">
        <f aca="false">IF($A33="","",IFERROR(L33+M33+N33+O33+P33+Q33+R33+S33+T33,0))</f>
        <v/>
      </c>
      <c r="V33" s="43" t="str">
        <f aca="false">IF($A33="","",ROUND(IFERROR(MAX(0,(INDEX('SET Settings'!$D$6:$D$12,MATCH(U33*12,'SET Settings'!$A$6:$A$12,1))+(U33*12-INDEX('SET Settings'!$A$6:$A$12,MATCH(U33*12,'SET Settings'!$A$6:$A$12,1)))*INDEX('SET Settings'!$C$6:$C$12,MATCH(U33*12,'SET Settings'!$A$6:$A$12,1))/100))/12,0),2))</f>
        <v/>
      </c>
      <c r="W33" s="43" t="str">
        <f aca="false">IF($A33="","",IFERROR(MIN(U33*'SET Settings'!$B$16,'SET Settings'!$B$18),0))</f>
        <v/>
      </c>
      <c r="X33" s="45"/>
      <c r="Y33" s="45"/>
      <c r="Z33" s="45"/>
      <c r="AA33" s="45"/>
      <c r="AB33" s="43" t="str">
        <f aca="false">IF($A33="","",IFERROR(V33+W33+X33+Y33+Z33+AA33,0))</f>
        <v/>
      </c>
      <c r="AC33" s="47" t="str">
        <f aca="false">IF($A33="","",IFERROR(U33-AB33,0))</f>
        <v/>
      </c>
      <c r="AD33" s="43" t="str">
        <f aca="false">IF($A33="","",IFERROR(VLOOKUP(A33,'HIST Monthly History'!$A:$O,15,0),0))</f>
        <v/>
      </c>
      <c r="AE33" s="43" t="str">
        <f aca="true">IF($A33="","",IFERROR(V33*MONTH(TODAY()),0))</f>
        <v/>
      </c>
      <c r="AF33" s="48" t="str">
        <f aca="false">IF(A33="","",IFERROR(VLOOKUP(A33,'EMP Employees'!$A:$V,13,0),""))</f>
        <v/>
      </c>
      <c r="AG33" s="48" t="str">
        <f aca="false">IF(A33="","",IFERROR(VLOOKUP(A33,'EMP Employees'!$A:$V,14,0),""))</f>
        <v/>
      </c>
      <c r="AH33" s="11"/>
      <c r="AI33" s="11"/>
      <c r="AJ33" s="11"/>
      <c r="AK33" s="11"/>
      <c r="AL33" s="11"/>
      <c r="AM33" s="11"/>
      <c r="AN33" s="11"/>
    </row>
    <row r="34" customFormat="false" ht="15" hidden="false" customHeight="true" outlineLevel="0" collapsed="false">
      <c r="A34" s="41"/>
      <c r="B34" s="42" t="str">
        <f aca="false">IF(A34="","",IFERROR(VLOOKUP(A34,'EMP Employees'!$A:$V,2,0),""))</f>
        <v/>
      </c>
      <c r="C34" s="42" t="str">
        <f aca="false">IF(A34="","",IFERROR(VLOOKUP(A34,'EMP Employees'!$A:$V,18,0),""))</f>
        <v/>
      </c>
      <c r="D34" s="43" t="str">
        <f aca="false">IF(A34="","",IFERROR(IF(C34="Hourly",VLOOKUP(A34,'EMP Employees'!$A:$V,19,0),IF(C34="Monthly",VLOOKUP(A34,'EMP Employees'!$A:$V,20,0)/'SET Settings'!$B$87,0)),0))</f>
        <v/>
      </c>
      <c r="E34" s="44"/>
      <c r="F34" s="44"/>
      <c r="G34" s="44"/>
      <c r="H34" s="44"/>
      <c r="I34" s="44"/>
      <c r="J34" s="44"/>
      <c r="K34" s="44"/>
      <c r="L34" s="43" t="str">
        <f aca="false">IF($A34="","",IFERROR(IF(C34="Monthly",VLOOKUP(A34,'EMP Employees'!$A:$V,20,0),0),0))</f>
        <v/>
      </c>
      <c r="M34" s="43" t="str">
        <f aca="false">IF($A34="","",IFERROR(E34*D34,0))</f>
        <v/>
      </c>
      <c r="N34" s="43" t="str">
        <f aca="false">IF($A34="","",IFERROR(F34*D34*'SET Settings'!$B$70,0))</f>
        <v/>
      </c>
      <c r="O34" s="43" t="str">
        <f aca="false">IF($A34="","",IFERROR(G34*D34*(1+'SET Settings'!$B$71),0))</f>
        <v/>
      </c>
      <c r="P34" s="43" t="str">
        <f aca="false">IF($A34="","",IFERROR(H34*D34*'SET Settings'!$B$72,0))</f>
        <v/>
      </c>
      <c r="Q34" s="43" t="str">
        <f aca="false">IF($A34="","",IFERROR(I34*D34*'SET Settings'!$B$73,0))</f>
        <v/>
      </c>
      <c r="R34" s="43" t="str">
        <f aca="false">IF($A34="","",IFERROR(J34*D34*'SET Settings'!$B$74,0))</f>
        <v/>
      </c>
      <c r="S34" s="45"/>
      <c r="T34" s="45"/>
      <c r="U34" s="46" t="str">
        <f aca="false">IF($A34="","",IFERROR(L34+M34+N34+O34+P34+Q34+R34+S34+T34,0))</f>
        <v/>
      </c>
      <c r="V34" s="43" t="str">
        <f aca="false">IF($A34="","",ROUND(IFERROR(MAX(0,(INDEX('SET Settings'!$D$6:$D$12,MATCH(U34*12,'SET Settings'!$A$6:$A$12,1))+(U34*12-INDEX('SET Settings'!$A$6:$A$12,MATCH(U34*12,'SET Settings'!$A$6:$A$12,1)))*INDEX('SET Settings'!$C$6:$C$12,MATCH(U34*12,'SET Settings'!$A$6:$A$12,1))/100))/12,0),2))</f>
        <v/>
      </c>
      <c r="W34" s="43" t="str">
        <f aca="false">IF($A34="","",IFERROR(MIN(U34*'SET Settings'!$B$16,'SET Settings'!$B$18),0))</f>
        <v/>
      </c>
      <c r="X34" s="45"/>
      <c r="Y34" s="45"/>
      <c r="Z34" s="45"/>
      <c r="AA34" s="45"/>
      <c r="AB34" s="43" t="str">
        <f aca="false">IF($A34="","",IFERROR(V34+W34+X34+Y34+Z34+AA34,0))</f>
        <v/>
      </c>
      <c r="AC34" s="47" t="str">
        <f aca="false">IF($A34="","",IFERROR(U34-AB34,0))</f>
        <v/>
      </c>
      <c r="AD34" s="43" t="str">
        <f aca="false">IF($A34="","",IFERROR(VLOOKUP(A34,'HIST Monthly History'!$A:$O,15,0),0))</f>
        <v/>
      </c>
      <c r="AE34" s="43" t="str">
        <f aca="true">IF($A34="","",IFERROR(V34*MONTH(TODAY()),0))</f>
        <v/>
      </c>
      <c r="AF34" s="48" t="str">
        <f aca="false">IF(A34="","",IFERROR(VLOOKUP(A34,'EMP Employees'!$A:$V,13,0),""))</f>
        <v/>
      </c>
      <c r="AG34" s="48" t="str">
        <f aca="false">IF(A34="","",IFERROR(VLOOKUP(A34,'EMP Employees'!$A:$V,14,0),""))</f>
        <v/>
      </c>
      <c r="AH34" s="11"/>
      <c r="AI34" s="11"/>
      <c r="AJ34" s="11"/>
      <c r="AK34" s="11"/>
      <c r="AL34" s="11"/>
      <c r="AM34" s="11"/>
      <c r="AN34" s="11"/>
    </row>
    <row r="35" customFormat="false" ht="15" hidden="false" customHeight="true" outlineLevel="0" collapsed="false">
      <c r="A35" s="41"/>
      <c r="B35" s="42" t="str">
        <f aca="false">IF(A35="","",IFERROR(VLOOKUP(A35,'EMP Employees'!$A:$V,2,0),""))</f>
        <v/>
      </c>
      <c r="C35" s="42" t="str">
        <f aca="false">IF(A35="","",IFERROR(VLOOKUP(A35,'EMP Employees'!$A:$V,18,0),""))</f>
        <v/>
      </c>
      <c r="D35" s="43" t="str">
        <f aca="false">IF(A35="","",IFERROR(IF(C35="Hourly",VLOOKUP(A35,'EMP Employees'!$A:$V,19,0),IF(C35="Monthly",VLOOKUP(A35,'EMP Employees'!$A:$V,20,0)/'SET Settings'!$B$87,0)),0))</f>
        <v/>
      </c>
      <c r="E35" s="44"/>
      <c r="F35" s="44"/>
      <c r="G35" s="44"/>
      <c r="H35" s="44"/>
      <c r="I35" s="44"/>
      <c r="J35" s="44"/>
      <c r="K35" s="44"/>
      <c r="L35" s="43" t="str">
        <f aca="false">IF($A35="","",IFERROR(IF(C35="Monthly",VLOOKUP(A35,'EMP Employees'!$A:$V,20,0),0),0))</f>
        <v/>
      </c>
      <c r="M35" s="43" t="str">
        <f aca="false">IF($A35="","",IFERROR(E35*D35,0))</f>
        <v/>
      </c>
      <c r="N35" s="43" t="str">
        <f aca="false">IF($A35="","",IFERROR(F35*D35*'SET Settings'!$B$70,0))</f>
        <v/>
      </c>
      <c r="O35" s="43" t="str">
        <f aca="false">IF($A35="","",IFERROR(G35*D35*(1+'SET Settings'!$B$71),0))</f>
        <v/>
      </c>
      <c r="P35" s="43" t="str">
        <f aca="false">IF($A35="","",IFERROR(H35*D35*'SET Settings'!$B$72,0))</f>
        <v/>
      </c>
      <c r="Q35" s="43" t="str">
        <f aca="false">IF($A35="","",IFERROR(I35*D35*'SET Settings'!$B$73,0))</f>
        <v/>
      </c>
      <c r="R35" s="43" t="str">
        <f aca="false">IF($A35="","",IFERROR(J35*D35*'SET Settings'!$B$74,0))</f>
        <v/>
      </c>
      <c r="S35" s="45"/>
      <c r="T35" s="45"/>
      <c r="U35" s="46" t="str">
        <f aca="false">IF($A35="","",IFERROR(L35+M35+N35+O35+P35+Q35+R35+S35+T35,0))</f>
        <v/>
      </c>
      <c r="V35" s="43" t="str">
        <f aca="false">IF($A35="","",ROUND(IFERROR(MAX(0,(INDEX('SET Settings'!$D$6:$D$12,MATCH(U35*12,'SET Settings'!$A$6:$A$12,1))+(U35*12-INDEX('SET Settings'!$A$6:$A$12,MATCH(U35*12,'SET Settings'!$A$6:$A$12,1)))*INDEX('SET Settings'!$C$6:$C$12,MATCH(U35*12,'SET Settings'!$A$6:$A$12,1))/100))/12,0),2))</f>
        <v/>
      </c>
      <c r="W35" s="43" t="str">
        <f aca="false">IF($A35="","",IFERROR(MIN(U35*'SET Settings'!$B$16,'SET Settings'!$B$18),0))</f>
        <v/>
      </c>
      <c r="X35" s="45"/>
      <c r="Y35" s="45"/>
      <c r="Z35" s="45"/>
      <c r="AA35" s="45"/>
      <c r="AB35" s="43" t="str">
        <f aca="false">IF($A35="","",IFERROR(V35+W35+X35+Y35+Z35+AA35,0))</f>
        <v/>
      </c>
      <c r="AC35" s="47" t="str">
        <f aca="false">IF($A35="","",IFERROR(U35-AB35,0))</f>
        <v/>
      </c>
      <c r="AD35" s="43" t="str">
        <f aca="false">IF($A35="","",IFERROR(VLOOKUP(A35,'HIST Monthly History'!$A:$O,15,0),0))</f>
        <v/>
      </c>
      <c r="AE35" s="43" t="str">
        <f aca="true">IF($A35="","",IFERROR(V35*MONTH(TODAY()),0))</f>
        <v/>
      </c>
      <c r="AF35" s="48" t="str">
        <f aca="false">IF(A35="","",IFERROR(VLOOKUP(A35,'EMP Employees'!$A:$V,13,0),""))</f>
        <v/>
      </c>
      <c r="AG35" s="48" t="str">
        <f aca="false">IF(A35="","",IFERROR(VLOOKUP(A35,'EMP Employees'!$A:$V,14,0),""))</f>
        <v/>
      </c>
      <c r="AH35" s="11"/>
      <c r="AI35" s="11"/>
      <c r="AJ35" s="11"/>
      <c r="AK35" s="11"/>
      <c r="AL35" s="11"/>
      <c r="AM35" s="11"/>
      <c r="AN35" s="11"/>
    </row>
    <row r="36" customFormat="false" ht="15" hidden="false" customHeight="true" outlineLevel="0" collapsed="false">
      <c r="A36" s="41"/>
      <c r="B36" s="42" t="str">
        <f aca="false">IF(A36="","",IFERROR(VLOOKUP(A36,'EMP Employees'!$A:$V,2,0),""))</f>
        <v/>
      </c>
      <c r="C36" s="42" t="str">
        <f aca="false">IF(A36="","",IFERROR(VLOOKUP(A36,'EMP Employees'!$A:$V,18,0),""))</f>
        <v/>
      </c>
      <c r="D36" s="43" t="str">
        <f aca="false">IF(A36="","",IFERROR(IF(C36="Hourly",VLOOKUP(A36,'EMP Employees'!$A:$V,19,0),IF(C36="Monthly",VLOOKUP(A36,'EMP Employees'!$A:$V,20,0)/'SET Settings'!$B$87,0)),0))</f>
        <v/>
      </c>
      <c r="E36" s="44"/>
      <c r="F36" s="44"/>
      <c r="G36" s="44"/>
      <c r="H36" s="44"/>
      <c r="I36" s="44"/>
      <c r="J36" s="44"/>
      <c r="K36" s="44"/>
      <c r="L36" s="43" t="str">
        <f aca="false">IF($A36="","",IFERROR(IF(C36="Monthly",VLOOKUP(A36,'EMP Employees'!$A:$V,20,0),0),0))</f>
        <v/>
      </c>
      <c r="M36" s="43" t="str">
        <f aca="false">IF($A36="","",IFERROR(E36*D36,0))</f>
        <v/>
      </c>
      <c r="N36" s="43" t="str">
        <f aca="false">IF($A36="","",IFERROR(F36*D36*'SET Settings'!$B$70,0))</f>
        <v/>
      </c>
      <c r="O36" s="43" t="str">
        <f aca="false">IF($A36="","",IFERROR(G36*D36*(1+'SET Settings'!$B$71),0))</f>
        <v/>
      </c>
      <c r="P36" s="43" t="str">
        <f aca="false">IF($A36="","",IFERROR(H36*D36*'SET Settings'!$B$72,0))</f>
        <v/>
      </c>
      <c r="Q36" s="43" t="str">
        <f aca="false">IF($A36="","",IFERROR(I36*D36*'SET Settings'!$B$73,0))</f>
        <v/>
      </c>
      <c r="R36" s="43" t="str">
        <f aca="false">IF($A36="","",IFERROR(J36*D36*'SET Settings'!$B$74,0))</f>
        <v/>
      </c>
      <c r="S36" s="45"/>
      <c r="T36" s="45"/>
      <c r="U36" s="46" t="str">
        <f aca="false">IF($A36="","",IFERROR(L36+M36+N36+O36+P36+Q36+R36+S36+T36,0))</f>
        <v/>
      </c>
      <c r="V36" s="43" t="str">
        <f aca="false">IF($A36="","",ROUND(IFERROR(MAX(0,(INDEX('SET Settings'!$D$6:$D$12,MATCH(U36*12,'SET Settings'!$A$6:$A$12,1))+(U36*12-INDEX('SET Settings'!$A$6:$A$12,MATCH(U36*12,'SET Settings'!$A$6:$A$12,1)))*INDEX('SET Settings'!$C$6:$C$12,MATCH(U36*12,'SET Settings'!$A$6:$A$12,1))/100))/12,0),2))</f>
        <v/>
      </c>
      <c r="W36" s="43" t="str">
        <f aca="false">IF($A36="","",IFERROR(MIN(U36*'SET Settings'!$B$16,'SET Settings'!$B$18),0))</f>
        <v/>
      </c>
      <c r="X36" s="45"/>
      <c r="Y36" s="45"/>
      <c r="Z36" s="45"/>
      <c r="AA36" s="45"/>
      <c r="AB36" s="43" t="str">
        <f aca="false">IF($A36="","",IFERROR(V36+W36+X36+Y36+Z36+AA36,0))</f>
        <v/>
      </c>
      <c r="AC36" s="47" t="str">
        <f aca="false">IF($A36="","",IFERROR(U36-AB36,0))</f>
        <v/>
      </c>
      <c r="AD36" s="43" t="str">
        <f aca="false">IF($A36="","",IFERROR(VLOOKUP(A36,'HIST Monthly History'!$A:$O,15,0),0))</f>
        <v/>
      </c>
      <c r="AE36" s="43" t="str">
        <f aca="true">IF($A36="","",IFERROR(V36*MONTH(TODAY()),0))</f>
        <v/>
      </c>
      <c r="AF36" s="48" t="str">
        <f aca="false">IF(A36="","",IFERROR(VLOOKUP(A36,'EMP Employees'!$A:$V,13,0),""))</f>
        <v/>
      </c>
      <c r="AG36" s="48" t="str">
        <f aca="false">IF(A36="","",IFERROR(VLOOKUP(A36,'EMP Employees'!$A:$V,14,0),""))</f>
        <v/>
      </c>
      <c r="AH36" s="11"/>
      <c r="AI36" s="11"/>
      <c r="AJ36" s="11"/>
      <c r="AK36" s="11"/>
      <c r="AL36" s="11"/>
      <c r="AM36" s="11"/>
      <c r="AN36" s="11"/>
    </row>
    <row r="37" customFormat="false" ht="15" hidden="false" customHeight="true" outlineLevel="0" collapsed="false">
      <c r="A37" s="41"/>
      <c r="B37" s="42" t="str">
        <f aca="false">IF(A37="","",IFERROR(VLOOKUP(A37,'EMP Employees'!$A:$V,2,0),""))</f>
        <v/>
      </c>
      <c r="C37" s="42" t="str">
        <f aca="false">IF(A37="","",IFERROR(VLOOKUP(A37,'EMP Employees'!$A:$V,18,0),""))</f>
        <v/>
      </c>
      <c r="D37" s="43" t="str">
        <f aca="false">IF(A37="","",IFERROR(IF(C37="Hourly",VLOOKUP(A37,'EMP Employees'!$A:$V,19,0),IF(C37="Monthly",VLOOKUP(A37,'EMP Employees'!$A:$V,20,0)/'SET Settings'!$B$87,0)),0))</f>
        <v/>
      </c>
      <c r="E37" s="44"/>
      <c r="F37" s="44"/>
      <c r="G37" s="44"/>
      <c r="H37" s="44"/>
      <c r="I37" s="44"/>
      <c r="J37" s="44"/>
      <c r="K37" s="44"/>
      <c r="L37" s="43" t="str">
        <f aca="false">IF($A37="","",IFERROR(IF(C37="Monthly",VLOOKUP(A37,'EMP Employees'!$A:$V,20,0),0),0))</f>
        <v/>
      </c>
      <c r="M37" s="43" t="str">
        <f aca="false">IF($A37="","",IFERROR(E37*D37,0))</f>
        <v/>
      </c>
      <c r="N37" s="43" t="str">
        <f aca="false">IF($A37="","",IFERROR(F37*D37*'SET Settings'!$B$70,0))</f>
        <v/>
      </c>
      <c r="O37" s="43" t="str">
        <f aca="false">IF($A37="","",IFERROR(G37*D37*(1+'SET Settings'!$B$71),0))</f>
        <v/>
      </c>
      <c r="P37" s="43" t="str">
        <f aca="false">IF($A37="","",IFERROR(H37*D37*'SET Settings'!$B$72,0))</f>
        <v/>
      </c>
      <c r="Q37" s="43" t="str">
        <f aca="false">IF($A37="","",IFERROR(I37*D37*'SET Settings'!$B$73,0))</f>
        <v/>
      </c>
      <c r="R37" s="43" t="str">
        <f aca="false">IF($A37="","",IFERROR(J37*D37*'SET Settings'!$B$74,0))</f>
        <v/>
      </c>
      <c r="S37" s="45"/>
      <c r="T37" s="45"/>
      <c r="U37" s="46" t="str">
        <f aca="false">IF($A37="","",IFERROR(L37+M37+N37+O37+P37+Q37+R37+S37+T37,0))</f>
        <v/>
      </c>
      <c r="V37" s="43" t="str">
        <f aca="false">IF($A37="","",ROUND(IFERROR(MAX(0,(INDEX('SET Settings'!$D$6:$D$12,MATCH(U37*12,'SET Settings'!$A$6:$A$12,1))+(U37*12-INDEX('SET Settings'!$A$6:$A$12,MATCH(U37*12,'SET Settings'!$A$6:$A$12,1)))*INDEX('SET Settings'!$C$6:$C$12,MATCH(U37*12,'SET Settings'!$A$6:$A$12,1))/100))/12,0),2))</f>
        <v/>
      </c>
      <c r="W37" s="43" t="str">
        <f aca="false">IF($A37="","",IFERROR(MIN(U37*'SET Settings'!$B$16,'SET Settings'!$B$18),0))</f>
        <v/>
      </c>
      <c r="X37" s="45"/>
      <c r="Y37" s="45"/>
      <c r="Z37" s="45"/>
      <c r="AA37" s="45"/>
      <c r="AB37" s="43" t="str">
        <f aca="false">IF($A37="","",IFERROR(V37+W37+X37+Y37+Z37+AA37,0))</f>
        <v/>
      </c>
      <c r="AC37" s="47" t="str">
        <f aca="false">IF($A37="","",IFERROR(U37-AB37,0))</f>
        <v/>
      </c>
      <c r="AD37" s="43" t="str">
        <f aca="false">IF($A37="","",IFERROR(VLOOKUP(A37,'HIST Monthly History'!$A:$O,15,0),0))</f>
        <v/>
      </c>
      <c r="AE37" s="43" t="str">
        <f aca="true">IF($A37="","",IFERROR(V37*MONTH(TODAY()),0))</f>
        <v/>
      </c>
      <c r="AF37" s="48" t="str">
        <f aca="false">IF(A37="","",IFERROR(VLOOKUP(A37,'EMP Employees'!$A:$V,13,0),""))</f>
        <v/>
      </c>
      <c r="AG37" s="48" t="str">
        <f aca="false">IF(A37="","",IFERROR(VLOOKUP(A37,'EMP Employees'!$A:$V,14,0),""))</f>
        <v/>
      </c>
    </row>
    <row r="38" customFormat="false" ht="15" hidden="false" customHeight="true" outlineLevel="0" collapsed="false">
      <c r="A38" s="41"/>
      <c r="B38" s="42" t="str">
        <f aca="false">IF(A38="","",IFERROR(VLOOKUP(A38,'EMP Employees'!$A:$V,2,0),""))</f>
        <v/>
      </c>
      <c r="C38" s="42" t="str">
        <f aca="false">IF(A38="","",IFERROR(VLOOKUP(A38,'EMP Employees'!$A:$V,18,0),""))</f>
        <v/>
      </c>
      <c r="D38" s="43" t="str">
        <f aca="false">IF(A38="","",IFERROR(IF(C38="Hourly",VLOOKUP(A38,'EMP Employees'!$A:$V,19,0),IF(C38="Monthly",VLOOKUP(A38,'EMP Employees'!$A:$V,20,0)/'SET Settings'!$B$87,0)),0))</f>
        <v/>
      </c>
      <c r="E38" s="44"/>
      <c r="F38" s="44"/>
      <c r="G38" s="44"/>
      <c r="H38" s="44"/>
      <c r="I38" s="44"/>
      <c r="J38" s="44"/>
      <c r="K38" s="44"/>
      <c r="L38" s="43" t="str">
        <f aca="false">IF($A38="","",IFERROR(IF(C38="Monthly",VLOOKUP(A38,'EMP Employees'!$A:$V,20,0),0),0))</f>
        <v/>
      </c>
      <c r="M38" s="43" t="str">
        <f aca="false">IF($A38="","",IFERROR(E38*D38,0))</f>
        <v/>
      </c>
      <c r="N38" s="43" t="str">
        <f aca="false">IF($A38="","",IFERROR(F38*D38*'SET Settings'!$B$70,0))</f>
        <v/>
      </c>
      <c r="O38" s="43" t="str">
        <f aca="false">IF($A38="","",IFERROR(G38*D38*(1+'SET Settings'!$B$71),0))</f>
        <v/>
      </c>
      <c r="P38" s="43" t="str">
        <f aca="false">IF($A38="","",IFERROR(H38*D38*'SET Settings'!$B$72,0))</f>
        <v/>
      </c>
      <c r="Q38" s="43" t="str">
        <f aca="false">IF($A38="","",IFERROR(I38*D38*'SET Settings'!$B$73,0))</f>
        <v/>
      </c>
      <c r="R38" s="43" t="str">
        <f aca="false">IF($A38="","",IFERROR(J38*D38*'SET Settings'!$B$74,0))</f>
        <v/>
      </c>
      <c r="S38" s="45"/>
      <c r="T38" s="45"/>
      <c r="U38" s="46" t="str">
        <f aca="false">IF($A38="","",IFERROR(L38+M38+N38+O38+P38+Q38+R38+S38+T38,0))</f>
        <v/>
      </c>
      <c r="V38" s="43" t="str">
        <f aca="false">IF($A38="","",ROUND(IFERROR(MAX(0,(INDEX('SET Settings'!$D$6:$D$12,MATCH(U38*12,'SET Settings'!$A$6:$A$12,1))+(U38*12-INDEX('SET Settings'!$A$6:$A$12,MATCH(U38*12,'SET Settings'!$A$6:$A$12,1)))*INDEX('SET Settings'!$C$6:$C$12,MATCH(U38*12,'SET Settings'!$A$6:$A$12,1))/100))/12,0),2))</f>
        <v/>
      </c>
      <c r="W38" s="43" t="str">
        <f aca="false">IF($A38="","",IFERROR(MIN(U38*'SET Settings'!$B$16,'SET Settings'!$B$18),0))</f>
        <v/>
      </c>
      <c r="X38" s="45"/>
      <c r="Y38" s="45"/>
      <c r="Z38" s="45"/>
      <c r="AA38" s="45"/>
      <c r="AB38" s="43" t="str">
        <f aca="false">IF($A38="","",IFERROR(V38+W38+X38+Y38+Z38+AA38,0))</f>
        <v/>
      </c>
      <c r="AC38" s="47" t="str">
        <f aca="false">IF($A38="","",IFERROR(U38-AB38,0))</f>
        <v/>
      </c>
      <c r="AD38" s="43" t="str">
        <f aca="false">IF($A38="","",IFERROR(VLOOKUP(A38,'HIST Monthly History'!$A:$O,15,0),0))</f>
        <v/>
      </c>
      <c r="AE38" s="43" t="str">
        <f aca="true">IF($A38="","",IFERROR(V38*MONTH(TODAY()),0))</f>
        <v/>
      </c>
      <c r="AF38" s="48" t="str">
        <f aca="false">IF(A38="","",IFERROR(VLOOKUP(A38,'EMP Employees'!$A:$V,13,0),""))</f>
        <v/>
      </c>
      <c r="AG38" s="48" t="str">
        <f aca="false">IF(A38="","",IFERROR(VLOOKUP(A38,'EMP Employees'!$A:$V,14,0),""))</f>
        <v/>
      </c>
    </row>
    <row r="39" customFormat="false" ht="15" hidden="false" customHeight="true" outlineLevel="0" collapsed="false">
      <c r="A39" s="41"/>
      <c r="B39" s="42" t="str">
        <f aca="false">IF(A39="","",IFERROR(VLOOKUP(A39,'EMP Employees'!$A:$V,2,0),""))</f>
        <v/>
      </c>
      <c r="C39" s="42" t="str">
        <f aca="false">IF(A39="","",IFERROR(VLOOKUP(A39,'EMP Employees'!$A:$V,18,0),""))</f>
        <v/>
      </c>
      <c r="D39" s="43" t="str">
        <f aca="false">IF(A39="","",IFERROR(IF(C39="Hourly",VLOOKUP(A39,'EMP Employees'!$A:$V,19,0),IF(C39="Monthly",VLOOKUP(A39,'EMP Employees'!$A:$V,20,0)/'SET Settings'!$B$87,0)),0))</f>
        <v/>
      </c>
      <c r="E39" s="44"/>
      <c r="F39" s="44"/>
      <c r="G39" s="44"/>
      <c r="H39" s="44"/>
      <c r="I39" s="44"/>
      <c r="J39" s="44"/>
      <c r="K39" s="44"/>
      <c r="L39" s="43" t="str">
        <f aca="false">IF($A39="","",IFERROR(IF(C39="Monthly",VLOOKUP(A39,'EMP Employees'!$A:$V,20,0),0),0))</f>
        <v/>
      </c>
      <c r="M39" s="43" t="str">
        <f aca="false">IF($A39="","",IFERROR(E39*D39,0))</f>
        <v/>
      </c>
      <c r="N39" s="43" t="str">
        <f aca="false">IF($A39="","",IFERROR(F39*D39*'SET Settings'!$B$70,0))</f>
        <v/>
      </c>
      <c r="O39" s="43" t="str">
        <f aca="false">IF($A39="","",IFERROR(G39*D39*(1+'SET Settings'!$B$71),0))</f>
        <v/>
      </c>
      <c r="P39" s="43" t="str">
        <f aca="false">IF($A39="","",IFERROR(H39*D39*'SET Settings'!$B$72,0))</f>
        <v/>
      </c>
      <c r="Q39" s="43" t="str">
        <f aca="false">IF($A39="","",IFERROR(I39*D39*'SET Settings'!$B$73,0))</f>
        <v/>
      </c>
      <c r="R39" s="43" t="str">
        <f aca="false">IF($A39="","",IFERROR(J39*D39*'SET Settings'!$B$74,0))</f>
        <v/>
      </c>
      <c r="S39" s="45"/>
      <c r="T39" s="45"/>
      <c r="U39" s="46" t="str">
        <f aca="false">IF($A39="","",IFERROR(L39+M39+N39+O39+P39+Q39+R39+S39+T39,0))</f>
        <v/>
      </c>
      <c r="V39" s="43" t="str">
        <f aca="false">IF($A39="","",ROUND(IFERROR(MAX(0,(INDEX('SET Settings'!$D$6:$D$12,MATCH(U39*12,'SET Settings'!$A$6:$A$12,1))+(U39*12-INDEX('SET Settings'!$A$6:$A$12,MATCH(U39*12,'SET Settings'!$A$6:$A$12,1)))*INDEX('SET Settings'!$C$6:$C$12,MATCH(U39*12,'SET Settings'!$A$6:$A$12,1))/100))/12,0),2))</f>
        <v/>
      </c>
      <c r="W39" s="43" t="str">
        <f aca="false">IF($A39="","",IFERROR(MIN(U39*'SET Settings'!$B$16,'SET Settings'!$B$18),0))</f>
        <v/>
      </c>
      <c r="X39" s="45"/>
      <c r="Y39" s="45"/>
      <c r="Z39" s="45"/>
      <c r="AA39" s="45"/>
      <c r="AB39" s="43" t="str">
        <f aca="false">IF($A39="","",IFERROR(V39+W39+X39+Y39+Z39+AA39,0))</f>
        <v/>
      </c>
      <c r="AC39" s="47" t="str">
        <f aca="false">IF($A39="","",IFERROR(U39-AB39,0))</f>
        <v/>
      </c>
      <c r="AD39" s="43" t="str">
        <f aca="false">IF($A39="","",IFERROR(VLOOKUP(A39,'HIST Monthly History'!$A:$O,15,0),0))</f>
        <v/>
      </c>
      <c r="AE39" s="43" t="str">
        <f aca="true">IF($A39="","",IFERROR(V39*MONTH(TODAY()),0))</f>
        <v/>
      </c>
      <c r="AF39" s="48" t="str">
        <f aca="false">IF(A39="","",IFERROR(VLOOKUP(A39,'EMP Employees'!$A:$V,13,0),""))</f>
        <v/>
      </c>
      <c r="AG39" s="48" t="str">
        <f aca="false">IF(A39="","",IFERROR(VLOOKUP(A39,'EMP Employees'!$A:$V,14,0),""))</f>
        <v/>
      </c>
    </row>
    <row r="40" customFormat="false" ht="15" hidden="false" customHeight="true" outlineLevel="0" collapsed="false">
      <c r="A40" s="41"/>
      <c r="B40" s="42" t="str">
        <f aca="false">IF(A40="","",IFERROR(VLOOKUP(A40,'EMP Employees'!$A:$V,2,0),""))</f>
        <v/>
      </c>
      <c r="C40" s="42" t="str">
        <f aca="false">IF(A40="","",IFERROR(VLOOKUP(A40,'EMP Employees'!$A:$V,18,0),""))</f>
        <v/>
      </c>
      <c r="D40" s="43" t="str">
        <f aca="false">IF(A40="","",IFERROR(IF(C40="Hourly",VLOOKUP(A40,'EMP Employees'!$A:$V,19,0),IF(C40="Monthly",VLOOKUP(A40,'EMP Employees'!$A:$V,20,0)/'SET Settings'!$B$87,0)),0))</f>
        <v/>
      </c>
      <c r="E40" s="44"/>
      <c r="F40" s="44"/>
      <c r="G40" s="44"/>
      <c r="H40" s="44"/>
      <c r="I40" s="44"/>
      <c r="J40" s="44"/>
      <c r="K40" s="44"/>
      <c r="L40" s="43" t="str">
        <f aca="false">IF($A40="","",IFERROR(IF(C40="Monthly",VLOOKUP(A40,'EMP Employees'!$A:$V,20,0),0),0))</f>
        <v/>
      </c>
      <c r="M40" s="43" t="str">
        <f aca="false">IF($A40="","",IFERROR(E40*D40,0))</f>
        <v/>
      </c>
      <c r="N40" s="43" t="str">
        <f aca="false">IF($A40="","",IFERROR(F40*D40*'SET Settings'!$B$70,0))</f>
        <v/>
      </c>
      <c r="O40" s="43" t="str">
        <f aca="false">IF($A40="","",IFERROR(G40*D40*(1+'SET Settings'!$B$71),0))</f>
        <v/>
      </c>
      <c r="P40" s="43" t="str">
        <f aca="false">IF($A40="","",IFERROR(H40*D40*'SET Settings'!$B$72,0))</f>
        <v/>
      </c>
      <c r="Q40" s="43" t="str">
        <f aca="false">IF($A40="","",IFERROR(I40*D40*'SET Settings'!$B$73,0))</f>
        <v/>
      </c>
      <c r="R40" s="43" t="str">
        <f aca="false">IF($A40="","",IFERROR(J40*D40*'SET Settings'!$B$74,0))</f>
        <v/>
      </c>
      <c r="S40" s="45"/>
      <c r="T40" s="45"/>
      <c r="U40" s="46" t="str">
        <f aca="false">IF($A40="","",IFERROR(L40+M40+N40+O40+P40+Q40+R40+S40+T40,0))</f>
        <v/>
      </c>
      <c r="V40" s="43" t="str">
        <f aca="false">IF($A40="","",ROUND(IFERROR(MAX(0,(INDEX('SET Settings'!$D$6:$D$12,MATCH(U40*12,'SET Settings'!$A$6:$A$12,1))+(U40*12-INDEX('SET Settings'!$A$6:$A$12,MATCH(U40*12,'SET Settings'!$A$6:$A$12,1)))*INDEX('SET Settings'!$C$6:$C$12,MATCH(U40*12,'SET Settings'!$A$6:$A$12,1))/100))/12,0),2))</f>
        <v/>
      </c>
      <c r="W40" s="43" t="str">
        <f aca="false">IF($A40="","",IFERROR(MIN(U40*'SET Settings'!$B$16,'SET Settings'!$B$18),0))</f>
        <v/>
      </c>
      <c r="X40" s="45"/>
      <c r="Y40" s="45"/>
      <c r="Z40" s="45"/>
      <c r="AA40" s="45"/>
      <c r="AB40" s="43" t="str">
        <f aca="false">IF($A40="","",IFERROR(V40+W40+X40+Y40+Z40+AA40,0))</f>
        <v/>
      </c>
      <c r="AC40" s="47" t="str">
        <f aca="false">IF($A40="","",IFERROR(U40-AB40,0))</f>
        <v/>
      </c>
      <c r="AD40" s="43" t="str">
        <f aca="false">IF($A40="","",IFERROR(VLOOKUP(A40,'HIST Monthly History'!$A:$O,15,0),0))</f>
        <v/>
      </c>
      <c r="AE40" s="43" t="str">
        <f aca="true">IF($A40="","",IFERROR(V40*MONTH(TODAY()),0))</f>
        <v/>
      </c>
      <c r="AF40" s="48" t="str">
        <f aca="false">IF(A40="","",IFERROR(VLOOKUP(A40,'EMP Employees'!$A:$V,13,0),""))</f>
        <v/>
      </c>
      <c r="AG40" s="48" t="str">
        <f aca="false">IF(A40="","",IFERROR(VLOOKUP(A40,'EMP Employees'!$A:$V,14,0),""))</f>
        <v/>
      </c>
    </row>
    <row r="41" customFormat="false" ht="15" hidden="false" customHeight="true" outlineLevel="0" collapsed="false">
      <c r="A41" s="41"/>
      <c r="B41" s="42" t="str">
        <f aca="false">IF(A41="","",IFERROR(VLOOKUP(A41,'EMP Employees'!$A:$V,2,0),""))</f>
        <v/>
      </c>
      <c r="C41" s="42" t="str">
        <f aca="false">IF(A41="","",IFERROR(VLOOKUP(A41,'EMP Employees'!$A:$V,18,0),""))</f>
        <v/>
      </c>
      <c r="D41" s="43" t="str">
        <f aca="false">IF(A41="","",IFERROR(IF(C41="Hourly",VLOOKUP(A41,'EMP Employees'!$A:$V,19,0),IF(C41="Monthly",VLOOKUP(A41,'EMP Employees'!$A:$V,20,0)/'SET Settings'!$B$87,0)),0))</f>
        <v/>
      </c>
      <c r="E41" s="44"/>
      <c r="F41" s="44"/>
      <c r="G41" s="44"/>
      <c r="H41" s="44"/>
      <c r="I41" s="44"/>
      <c r="J41" s="44"/>
      <c r="K41" s="44"/>
      <c r="L41" s="43" t="str">
        <f aca="false">IF($A41="","",IFERROR(IF(C41="Monthly",VLOOKUP(A41,'EMP Employees'!$A:$V,20,0),0),0))</f>
        <v/>
      </c>
      <c r="M41" s="43" t="str">
        <f aca="false">IF($A41="","",IFERROR(E41*D41,0))</f>
        <v/>
      </c>
      <c r="N41" s="43" t="str">
        <f aca="false">IF($A41="","",IFERROR(F41*D41*'SET Settings'!$B$70,0))</f>
        <v/>
      </c>
      <c r="O41" s="43" t="str">
        <f aca="false">IF($A41="","",IFERROR(G41*D41*(1+'SET Settings'!$B$71),0))</f>
        <v/>
      </c>
      <c r="P41" s="43" t="str">
        <f aca="false">IF($A41="","",IFERROR(H41*D41*'SET Settings'!$B$72,0))</f>
        <v/>
      </c>
      <c r="Q41" s="43" t="str">
        <f aca="false">IF($A41="","",IFERROR(I41*D41*'SET Settings'!$B$73,0))</f>
        <v/>
      </c>
      <c r="R41" s="43" t="str">
        <f aca="false">IF($A41="","",IFERROR(J41*D41*'SET Settings'!$B$74,0))</f>
        <v/>
      </c>
      <c r="S41" s="45"/>
      <c r="T41" s="45"/>
      <c r="U41" s="46" t="str">
        <f aca="false">IF($A41="","",IFERROR(L41+M41+N41+O41+P41+Q41+R41+S41+T41,0))</f>
        <v/>
      </c>
      <c r="V41" s="43" t="str">
        <f aca="false">IF($A41="","",ROUND(IFERROR(MAX(0,(INDEX('SET Settings'!$D$6:$D$12,MATCH(U41*12,'SET Settings'!$A$6:$A$12,1))+(U41*12-INDEX('SET Settings'!$A$6:$A$12,MATCH(U41*12,'SET Settings'!$A$6:$A$12,1)))*INDEX('SET Settings'!$C$6:$C$12,MATCH(U41*12,'SET Settings'!$A$6:$A$12,1))/100))/12,0),2))</f>
        <v/>
      </c>
      <c r="W41" s="43" t="str">
        <f aca="false">IF($A41="","",IFERROR(MIN(U41*'SET Settings'!$B$16,'SET Settings'!$B$18),0))</f>
        <v/>
      </c>
      <c r="X41" s="45"/>
      <c r="Y41" s="45"/>
      <c r="Z41" s="45"/>
      <c r="AA41" s="45"/>
      <c r="AB41" s="43" t="str">
        <f aca="false">IF($A41="","",IFERROR(V41+W41+X41+Y41+Z41+AA41,0))</f>
        <v/>
      </c>
      <c r="AC41" s="47" t="str">
        <f aca="false">IF($A41="","",IFERROR(U41-AB41,0))</f>
        <v/>
      </c>
      <c r="AD41" s="43" t="str">
        <f aca="false">IF($A41="","",IFERROR(VLOOKUP(A41,'HIST Monthly History'!$A:$O,15,0),0))</f>
        <v/>
      </c>
      <c r="AE41" s="43" t="str">
        <f aca="true">IF($A41="","",IFERROR(V41*MONTH(TODAY()),0))</f>
        <v/>
      </c>
      <c r="AF41" s="48" t="str">
        <f aca="false">IF(A41="","",IFERROR(VLOOKUP(A41,'EMP Employees'!$A:$V,13,0),""))</f>
        <v/>
      </c>
      <c r="AG41" s="48" t="str">
        <f aca="false">IF(A41="","",IFERROR(VLOOKUP(A41,'EMP Employees'!$A:$V,14,0),""))</f>
        <v/>
      </c>
    </row>
    <row r="42" customFormat="false" ht="15" hidden="false" customHeight="true" outlineLevel="0" collapsed="false">
      <c r="A42" s="41"/>
      <c r="B42" s="42" t="str">
        <f aca="false">IF(A42="","",IFERROR(VLOOKUP(A42,'EMP Employees'!$A:$V,2,0),""))</f>
        <v/>
      </c>
      <c r="C42" s="42" t="str">
        <f aca="false">IF(A42="","",IFERROR(VLOOKUP(A42,'EMP Employees'!$A:$V,18,0),""))</f>
        <v/>
      </c>
      <c r="D42" s="43" t="str">
        <f aca="false">IF(A42="","",IFERROR(IF(C42="Hourly",VLOOKUP(A42,'EMP Employees'!$A:$V,19,0),IF(C42="Monthly",VLOOKUP(A42,'EMP Employees'!$A:$V,20,0)/'SET Settings'!$B$87,0)),0))</f>
        <v/>
      </c>
      <c r="E42" s="44"/>
      <c r="F42" s="44"/>
      <c r="G42" s="44"/>
      <c r="H42" s="44"/>
      <c r="I42" s="44"/>
      <c r="J42" s="44"/>
      <c r="K42" s="44"/>
      <c r="L42" s="43" t="str">
        <f aca="false">IF($A42="","",IFERROR(IF(C42="Monthly",VLOOKUP(A42,'EMP Employees'!$A:$V,20,0),0),0))</f>
        <v/>
      </c>
      <c r="M42" s="43" t="str">
        <f aca="false">IF($A42="","",IFERROR(E42*D42,0))</f>
        <v/>
      </c>
      <c r="N42" s="43" t="str">
        <f aca="false">IF($A42="","",IFERROR(F42*D42*'SET Settings'!$B$70,0))</f>
        <v/>
      </c>
      <c r="O42" s="43" t="str">
        <f aca="false">IF($A42="","",IFERROR(G42*D42*(1+'SET Settings'!$B$71),0))</f>
        <v/>
      </c>
      <c r="P42" s="43" t="str">
        <f aca="false">IF($A42="","",IFERROR(H42*D42*'SET Settings'!$B$72,0))</f>
        <v/>
      </c>
      <c r="Q42" s="43" t="str">
        <f aca="false">IF($A42="","",IFERROR(I42*D42*'SET Settings'!$B$73,0))</f>
        <v/>
      </c>
      <c r="R42" s="43" t="str">
        <f aca="false">IF($A42="","",IFERROR(J42*D42*'SET Settings'!$B$74,0))</f>
        <v/>
      </c>
      <c r="S42" s="45"/>
      <c r="T42" s="45"/>
      <c r="U42" s="46" t="str">
        <f aca="false">IF($A42="","",IFERROR(L42+M42+N42+O42+P42+Q42+R42+S42+T42,0))</f>
        <v/>
      </c>
      <c r="V42" s="43" t="str">
        <f aca="false">IF($A42="","",ROUND(IFERROR(MAX(0,(INDEX('SET Settings'!$D$6:$D$12,MATCH(U42*12,'SET Settings'!$A$6:$A$12,1))+(U42*12-INDEX('SET Settings'!$A$6:$A$12,MATCH(U42*12,'SET Settings'!$A$6:$A$12,1)))*INDEX('SET Settings'!$C$6:$C$12,MATCH(U42*12,'SET Settings'!$A$6:$A$12,1))/100))/12,0),2))</f>
        <v/>
      </c>
      <c r="W42" s="43" t="str">
        <f aca="false">IF($A42="","",IFERROR(MIN(U42*'SET Settings'!$B$16,'SET Settings'!$B$18),0))</f>
        <v/>
      </c>
      <c r="X42" s="45"/>
      <c r="Y42" s="45"/>
      <c r="Z42" s="45"/>
      <c r="AA42" s="45"/>
      <c r="AB42" s="43" t="str">
        <f aca="false">IF($A42="","",IFERROR(V42+W42+X42+Y42+Z42+AA42,0))</f>
        <v/>
      </c>
      <c r="AC42" s="47" t="str">
        <f aca="false">IF($A42="","",IFERROR(U42-AB42,0))</f>
        <v/>
      </c>
      <c r="AD42" s="43" t="str">
        <f aca="false">IF($A42="","",IFERROR(VLOOKUP(A42,'HIST Monthly History'!$A:$O,15,0),0))</f>
        <v/>
      </c>
      <c r="AE42" s="43" t="str">
        <f aca="true">IF($A42="","",IFERROR(V42*MONTH(TODAY()),0))</f>
        <v/>
      </c>
      <c r="AF42" s="48" t="str">
        <f aca="false">IF(A42="","",IFERROR(VLOOKUP(A42,'EMP Employees'!$A:$V,13,0),""))</f>
        <v/>
      </c>
      <c r="AG42" s="48" t="str">
        <f aca="false">IF(A42="","",IFERROR(VLOOKUP(A42,'EMP Employees'!$A:$V,14,0),""))</f>
        <v/>
      </c>
    </row>
    <row r="43" customFormat="false" ht="15" hidden="false" customHeight="true" outlineLevel="0" collapsed="false">
      <c r="A43" s="41"/>
      <c r="B43" s="42" t="str">
        <f aca="false">IF(A43="","",IFERROR(VLOOKUP(A43,'EMP Employees'!$A:$V,2,0),""))</f>
        <v/>
      </c>
      <c r="C43" s="42" t="str">
        <f aca="false">IF(A43="","",IFERROR(VLOOKUP(A43,'EMP Employees'!$A:$V,18,0),""))</f>
        <v/>
      </c>
      <c r="D43" s="43" t="str">
        <f aca="false">IF(A43="","",IFERROR(IF(C43="Hourly",VLOOKUP(A43,'EMP Employees'!$A:$V,19,0),IF(C43="Monthly",VLOOKUP(A43,'EMP Employees'!$A:$V,20,0)/'SET Settings'!$B$87,0)),0))</f>
        <v/>
      </c>
      <c r="E43" s="44"/>
      <c r="F43" s="44"/>
      <c r="G43" s="44"/>
      <c r="H43" s="44"/>
      <c r="I43" s="44"/>
      <c r="J43" s="44"/>
      <c r="K43" s="44"/>
      <c r="L43" s="43" t="str">
        <f aca="false">IF($A43="","",IFERROR(IF(C43="Monthly",VLOOKUP(A43,'EMP Employees'!$A:$V,20,0),0),0))</f>
        <v/>
      </c>
      <c r="M43" s="43" t="str">
        <f aca="false">IF($A43="","",IFERROR(E43*D43,0))</f>
        <v/>
      </c>
      <c r="N43" s="43" t="str">
        <f aca="false">IF($A43="","",IFERROR(F43*D43*'SET Settings'!$B$70,0))</f>
        <v/>
      </c>
      <c r="O43" s="43" t="str">
        <f aca="false">IF($A43="","",IFERROR(G43*D43*(1+'SET Settings'!$B$71),0))</f>
        <v/>
      </c>
      <c r="P43" s="43" t="str">
        <f aca="false">IF($A43="","",IFERROR(H43*D43*'SET Settings'!$B$72,0))</f>
        <v/>
      </c>
      <c r="Q43" s="43" t="str">
        <f aca="false">IF($A43="","",IFERROR(I43*D43*'SET Settings'!$B$73,0))</f>
        <v/>
      </c>
      <c r="R43" s="43" t="str">
        <f aca="false">IF($A43="","",IFERROR(J43*D43*'SET Settings'!$B$74,0))</f>
        <v/>
      </c>
      <c r="S43" s="45"/>
      <c r="T43" s="45"/>
      <c r="U43" s="46" t="str">
        <f aca="false">IF($A43="","",IFERROR(L43+M43+N43+O43+P43+Q43+R43+S43+T43,0))</f>
        <v/>
      </c>
      <c r="V43" s="43" t="str">
        <f aca="false">IF($A43="","",ROUND(IFERROR(MAX(0,(INDEX('SET Settings'!$D$6:$D$12,MATCH(U43*12,'SET Settings'!$A$6:$A$12,1))+(U43*12-INDEX('SET Settings'!$A$6:$A$12,MATCH(U43*12,'SET Settings'!$A$6:$A$12,1)))*INDEX('SET Settings'!$C$6:$C$12,MATCH(U43*12,'SET Settings'!$A$6:$A$12,1))/100))/12,0),2))</f>
        <v/>
      </c>
      <c r="W43" s="43" t="str">
        <f aca="false">IF($A43="","",IFERROR(MIN(U43*'SET Settings'!$B$16,'SET Settings'!$B$18),0))</f>
        <v/>
      </c>
      <c r="X43" s="45"/>
      <c r="Y43" s="45"/>
      <c r="Z43" s="45"/>
      <c r="AA43" s="45"/>
      <c r="AB43" s="43" t="str">
        <f aca="false">IF($A43="","",IFERROR(V43+W43+X43+Y43+Z43+AA43,0))</f>
        <v/>
      </c>
      <c r="AC43" s="47" t="str">
        <f aca="false">IF($A43="","",IFERROR(U43-AB43,0))</f>
        <v/>
      </c>
      <c r="AD43" s="43" t="str">
        <f aca="false">IF($A43="","",IFERROR(VLOOKUP(A43,'HIST Monthly History'!$A:$O,15,0),0))</f>
        <v/>
      </c>
      <c r="AE43" s="43" t="str">
        <f aca="true">IF($A43="","",IFERROR(V43*MONTH(TODAY()),0))</f>
        <v/>
      </c>
      <c r="AF43" s="48" t="str">
        <f aca="false">IF(A43="","",IFERROR(VLOOKUP(A43,'EMP Employees'!$A:$V,13,0),""))</f>
        <v/>
      </c>
      <c r="AG43" s="48" t="str">
        <f aca="false">IF(A43="","",IFERROR(VLOOKUP(A43,'EMP Employees'!$A:$V,14,0),""))</f>
        <v/>
      </c>
    </row>
    <row r="44" customFormat="false" ht="15" hidden="false" customHeight="true" outlineLevel="0" collapsed="false">
      <c r="A44" s="41"/>
      <c r="B44" s="42" t="str">
        <f aca="false">IF(A44="","",IFERROR(VLOOKUP(A44,'EMP Employees'!$A:$V,2,0),""))</f>
        <v/>
      </c>
      <c r="C44" s="42" t="str">
        <f aca="false">IF(A44="","",IFERROR(VLOOKUP(A44,'EMP Employees'!$A:$V,18,0),""))</f>
        <v/>
      </c>
      <c r="D44" s="43" t="str">
        <f aca="false">IF(A44="","",IFERROR(IF(C44="Hourly",VLOOKUP(A44,'EMP Employees'!$A:$V,19,0),IF(C44="Monthly",VLOOKUP(A44,'EMP Employees'!$A:$V,20,0)/'SET Settings'!$B$87,0)),0))</f>
        <v/>
      </c>
      <c r="E44" s="44"/>
      <c r="F44" s="44"/>
      <c r="G44" s="44"/>
      <c r="H44" s="44"/>
      <c r="I44" s="44"/>
      <c r="J44" s="44"/>
      <c r="K44" s="44"/>
      <c r="L44" s="43" t="str">
        <f aca="false">IF($A44="","",IFERROR(IF(C44="Monthly",VLOOKUP(A44,'EMP Employees'!$A:$V,20,0),0),0))</f>
        <v/>
      </c>
      <c r="M44" s="43" t="str">
        <f aca="false">IF($A44="","",IFERROR(E44*D44,0))</f>
        <v/>
      </c>
      <c r="N44" s="43" t="str">
        <f aca="false">IF($A44="","",IFERROR(F44*D44*'SET Settings'!$B$70,0))</f>
        <v/>
      </c>
      <c r="O44" s="43" t="str">
        <f aca="false">IF($A44="","",IFERROR(G44*D44*(1+'SET Settings'!$B$71),0))</f>
        <v/>
      </c>
      <c r="P44" s="43" t="str">
        <f aca="false">IF($A44="","",IFERROR(H44*D44*'SET Settings'!$B$72,0))</f>
        <v/>
      </c>
      <c r="Q44" s="43" t="str">
        <f aca="false">IF($A44="","",IFERROR(I44*D44*'SET Settings'!$B$73,0))</f>
        <v/>
      </c>
      <c r="R44" s="43" t="str">
        <f aca="false">IF($A44="","",IFERROR(J44*D44*'SET Settings'!$B$74,0))</f>
        <v/>
      </c>
      <c r="S44" s="45"/>
      <c r="T44" s="45"/>
      <c r="U44" s="46" t="str">
        <f aca="false">IF($A44="","",IFERROR(L44+M44+N44+O44+P44+Q44+R44+S44+T44,0))</f>
        <v/>
      </c>
      <c r="V44" s="43" t="str">
        <f aca="false">IF($A44="","",ROUND(IFERROR(MAX(0,(INDEX('SET Settings'!$D$6:$D$12,MATCH(U44*12,'SET Settings'!$A$6:$A$12,1))+(U44*12-INDEX('SET Settings'!$A$6:$A$12,MATCH(U44*12,'SET Settings'!$A$6:$A$12,1)))*INDEX('SET Settings'!$C$6:$C$12,MATCH(U44*12,'SET Settings'!$A$6:$A$12,1))/100))/12,0),2))</f>
        <v/>
      </c>
      <c r="W44" s="43" t="str">
        <f aca="false">IF($A44="","",IFERROR(MIN(U44*'SET Settings'!$B$16,'SET Settings'!$B$18),0))</f>
        <v/>
      </c>
      <c r="X44" s="45"/>
      <c r="Y44" s="45"/>
      <c r="Z44" s="45"/>
      <c r="AA44" s="45"/>
      <c r="AB44" s="43" t="str">
        <f aca="false">IF($A44="","",IFERROR(V44+W44+X44+Y44+Z44+AA44,0))</f>
        <v/>
      </c>
      <c r="AC44" s="47" t="str">
        <f aca="false">IF($A44="","",IFERROR(U44-AB44,0))</f>
        <v/>
      </c>
      <c r="AD44" s="43" t="str">
        <f aca="false">IF($A44="","",IFERROR(VLOOKUP(A44,'HIST Monthly History'!$A:$O,15,0),0))</f>
        <v/>
      </c>
      <c r="AE44" s="43" t="str">
        <f aca="true">IF($A44="","",IFERROR(V44*MONTH(TODAY()),0))</f>
        <v/>
      </c>
      <c r="AF44" s="48" t="str">
        <f aca="false">IF(A44="","",IFERROR(VLOOKUP(A44,'EMP Employees'!$A:$V,13,0),""))</f>
        <v/>
      </c>
      <c r="AG44" s="48" t="str">
        <f aca="false">IF(A44="","",IFERROR(VLOOKUP(A44,'EMP Employees'!$A:$V,14,0),""))</f>
        <v/>
      </c>
    </row>
    <row r="45" customFormat="false" ht="15" hidden="false" customHeight="true" outlineLevel="0" collapsed="false">
      <c r="A45" s="41"/>
      <c r="B45" s="42" t="str">
        <f aca="false">IF(A45="","",IFERROR(VLOOKUP(A45,'EMP Employees'!$A:$V,2,0),""))</f>
        <v/>
      </c>
      <c r="C45" s="42" t="str">
        <f aca="false">IF(A45="","",IFERROR(VLOOKUP(A45,'EMP Employees'!$A:$V,18,0),""))</f>
        <v/>
      </c>
      <c r="D45" s="43" t="str">
        <f aca="false">IF(A45="","",IFERROR(IF(C45="Hourly",VLOOKUP(A45,'EMP Employees'!$A:$V,19,0),IF(C45="Monthly",VLOOKUP(A45,'EMP Employees'!$A:$V,20,0)/'SET Settings'!$B$87,0)),0))</f>
        <v/>
      </c>
      <c r="E45" s="44"/>
      <c r="F45" s="44"/>
      <c r="G45" s="44"/>
      <c r="H45" s="44"/>
      <c r="I45" s="44"/>
      <c r="J45" s="44"/>
      <c r="K45" s="44"/>
      <c r="L45" s="43" t="str">
        <f aca="false">IF($A45="","",IFERROR(IF(C45="Monthly",VLOOKUP(A45,'EMP Employees'!$A:$V,20,0),0),0))</f>
        <v/>
      </c>
      <c r="M45" s="43" t="str">
        <f aca="false">IF($A45="","",IFERROR(E45*D45,0))</f>
        <v/>
      </c>
      <c r="N45" s="43" t="str">
        <f aca="false">IF($A45="","",IFERROR(F45*D45*'SET Settings'!$B$70,0))</f>
        <v/>
      </c>
      <c r="O45" s="43" t="str">
        <f aca="false">IF($A45="","",IFERROR(G45*D45*(1+'SET Settings'!$B$71),0))</f>
        <v/>
      </c>
      <c r="P45" s="43" t="str">
        <f aca="false">IF($A45="","",IFERROR(H45*D45*'SET Settings'!$B$72,0))</f>
        <v/>
      </c>
      <c r="Q45" s="43" t="str">
        <f aca="false">IF($A45="","",IFERROR(I45*D45*'SET Settings'!$B$73,0))</f>
        <v/>
      </c>
      <c r="R45" s="43" t="str">
        <f aca="false">IF($A45="","",IFERROR(J45*D45*'SET Settings'!$B$74,0))</f>
        <v/>
      </c>
      <c r="S45" s="45"/>
      <c r="T45" s="45"/>
      <c r="U45" s="46" t="str">
        <f aca="false">IF($A45="","",IFERROR(L45+M45+N45+O45+P45+Q45+R45+S45+T45,0))</f>
        <v/>
      </c>
      <c r="V45" s="43" t="str">
        <f aca="false">IF($A45="","",ROUND(IFERROR(MAX(0,(INDEX('SET Settings'!$D$6:$D$12,MATCH(U45*12,'SET Settings'!$A$6:$A$12,1))+(U45*12-INDEX('SET Settings'!$A$6:$A$12,MATCH(U45*12,'SET Settings'!$A$6:$A$12,1)))*INDEX('SET Settings'!$C$6:$C$12,MATCH(U45*12,'SET Settings'!$A$6:$A$12,1))/100))/12,0),2))</f>
        <v/>
      </c>
      <c r="W45" s="43" t="str">
        <f aca="false">IF($A45="","",IFERROR(MIN(U45*'SET Settings'!$B$16,'SET Settings'!$B$18),0))</f>
        <v/>
      </c>
      <c r="X45" s="45"/>
      <c r="Y45" s="45"/>
      <c r="Z45" s="45"/>
      <c r="AA45" s="45"/>
      <c r="AB45" s="43" t="str">
        <f aca="false">IF($A45="","",IFERROR(V45+W45+X45+Y45+Z45+AA45,0))</f>
        <v/>
      </c>
      <c r="AC45" s="47" t="str">
        <f aca="false">IF($A45="","",IFERROR(U45-AB45,0))</f>
        <v/>
      </c>
      <c r="AD45" s="43" t="str">
        <f aca="false">IF($A45="","",IFERROR(VLOOKUP(A45,'HIST Monthly History'!$A:$O,15,0),0))</f>
        <v/>
      </c>
      <c r="AE45" s="43" t="str">
        <f aca="true">IF($A45="","",IFERROR(V45*MONTH(TODAY()),0))</f>
        <v/>
      </c>
      <c r="AF45" s="48" t="str">
        <f aca="false">IF(A45="","",IFERROR(VLOOKUP(A45,'EMP Employees'!$A:$V,13,0),""))</f>
        <v/>
      </c>
      <c r="AG45" s="48" t="str">
        <f aca="false">IF(A45="","",IFERROR(VLOOKUP(A45,'EMP Employees'!$A:$V,14,0),""))</f>
        <v/>
      </c>
    </row>
    <row r="46" customFormat="false" ht="15" hidden="false" customHeight="true" outlineLevel="0" collapsed="false">
      <c r="A46" s="41"/>
      <c r="B46" s="42" t="str">
        <f aca="false">IF(A46="","",IFERROR(VLOOKUP(A46,'EMP Employees'!$A:$V,2,0),""))</f>
        <v/>
      </c>
      <c r="C46" s="42" t="str">
        <f aca="false">IF(A46="","",IFERROR(VLOOKUP(A46,'EMP Employees'!$A:$V,18,0),""))</f>
        <v/>
      </c>
      <c r="D46" s="43" t="str">
        <f aca="false">IF(A46="","",IFERROR(IF(C46="Hourly",VLOOKUP(A46,'EMP Employees'!$A:$V,19,0),IF(C46="Monthly",VLOOKUP(A46,'EMP Employees'!$A:$V,20,0)/'SET Settings'!$B$87,0)),0))</f>
        <v/>
      </c>
      <c r="E46" s="44"/>
      <c r="F46" s="44"/>
      <c r="G46" s="44"/>
      <c r="H46" s="44"/>
      <c r="I46" s="44"/>
      <c r="J46" s="44"/>
      <c r="K46" s="44"/>
      <c r="L46" s="43" t="str">
        <f aca="false">IF($A46="","",IFERROR(IF(C46="Monthly",VLOOKUP(A46,'EMP Employees'!$A:$V,20,0),0),0))</f>
        <v/>
      </c>
      <c r="M46" s="43" t="str">
        <f aca="false">IF($A46="","",IFERROR(E46*D46,0))</f>
        <v/>
      </c>
      <c r="N46" s="43" t="str">
        <f aca="false">IF($A46="","",IFERROR(F46*D46*'SET Settings'!$B$70,0))</f>
        <v/>
      </c>
      <c r="O46" s="43" t="str">
        <f aca="false">IF($A46="","",IFERROR(G46*D46*(1+'SET Settings'!$B$71),0))</f>
        <v/>
      </c>
      <c r="P46" s="43" t="str">
        <f aca="false">IF($A46="","",IFERROR(H46*D46*'SET Settings'!$B$72,0))</f>
        <v/>
      </c>
      <c r="Q46" s="43" t="str">
        <f aca="false">IF($A46="","",IFERROR(I46*D46*'SET Settings'!$B$73,0))</f>
        <v/>
      </c>
      <c r="R46" s="43" t="str">
        <f aca="false">IF($A46="","",IFERROR(J46*D46*'SET Settings'!$B$74,0))</f>
        <v/>
      </c>
      <c r="S46" s="45"/>
      <c r="T46" s="45"/>
      <c r="U46" s="46" t="str">
        <f aca="false">IF($A46="","",IFERROR(L46+M46+N46+O46+P46+Q46+R46+S46+T46,0))</f>
        <v/>
      </c>
      <c r="V46" s="43" t="str">
        <f aca="false">IF($A46="","",ROUND(IFERROR(MAX(0,(INDEX('SET Settings'!$D$6:$D$12,MATCH(U46*12,'SET Settings'!$A$6:$A$12,1))+(U46*12-INDEX('SET Settings'!$A$6:$A$12,MATCH(U46*12,'SET Settings'!$A$6:$A$12,1)))*INDEX('SET Settings'!$C$6:$C$12,MATCH(U46*12,'SET Settings'!$A$6:$A$12,1))/100))/12,0),2))</f>
        <v/>
      </c>
      <c r="W46" s="43" t="str">
        <f aca="false">IF($A46="","",IFERROR(MIN(U46*'SET Settings'!$B$16,'SET Settings'!$B$18),0))</f>
        <v/>
      </c>
      <c r="X46" s="45"/>
      <c r="Y46" s="45"/>
      <c r="Z46" s="45"/>
      <c r="AA46" s="45"/>
      <c r="AB46" s="43" t="str">
        <f aca="false">IF($A46="","",IFERROR(V46+W46+X46+Y46+Z46+AA46,0))</f>
        <v/>
      </c>
      <c r="AC46" s="47" t="str">
        <f aca="false">IF($A46="","",IFERROR(U46-AB46,0))</f>
        <v/>
      </c>
      <c r="AD46" s="43" t="str">
        <f aca="false">IF($A46="","",IFERROR(VLOOKUP(A46,'HIST Monthly History'!$A:$O,15,0),0))</f>
        <v/>
      </c>
      <c r="AE46" s="43" t="str">
        <f aca="true">IF($A46="","",IFERROR(V46*MONTH(TODAY()),0))</f>
        <v/>
      </c>
      <c r="AF46" s="48" t="str">
        <f aca="false">IF(A46="","",IFERROR(VLOOKUP(A46,'EMP Employees'!$A:$V,13,0),""))</f>
        <v/>
      </c>
      <c r="AG46" s="48" t="str">
        <f aca="false">IF(A46="","",IFERROR(VLOOKUP(A46,'EMP Employees'!$A:$V,14,0),""))</f>
        <v/>
      </c>
    </row>
    <row r="47" customFormat="false" ht="15" hidden="false" customHeight="true" outlineLevel="0" collapsed="false">
      <c r="A47" s="41"/>
      <c r="B47" s="42" t="str">
        <f aca="false">IF(A47="","",IFERROR(VLOOKUP(A47,'EMP Employees'!$A:$V,2,0),""))</f>
        <v/>
      </c>
      <c r="C47" s="42" t="str">
        <f aca="false">IF(A47="","",IFERROR(VLOOKUP(A47,'EMP Employees'!$A:$V,18,0),""))</f>
        <v/>
      </c>
      <c r="D47" s="43" t="str">
        <f aca="false">IF(A47="","",IFERROR(IF(C47="Hourly",VLOOKUP(A47,'EMP Employees'!$A:$V,19,0),IF(C47="Monthly",VLOOKUP(A47,'EMP Employees'!$A:$V,20,0)/'SET Settings'!$B$87,0)),0))</f>
        <v/>
      </c>
      <c r="E47" s="44"/>
      <c r="F47" s="44"/>
      <c r="G47" s="44"/>
      <c r="H47" s="44"/>
      <c r="I47" s="44"/>
      <c r="J47" s="44"/>
      <c r="K47" s="44"/>
      <c r="L47" s="43" t="str">
        <f aca="false">IF($A47="","",IFERROR(IF(C47="Monthly",VLOOKUP(A47,'EMP Employees'!$A:$V,20,0),0),0))</f>
        <v/>
      </c>
      <c r="M47" s="43" t="str">
        <f aca="false">IF($A47="","",IFERROR(E47*D47,0))</f>
        <v/>
      </c>
      <c r="N47" s="43" t="str">
        <f aca="false">IF($A47="","",IFERROR(F47*D47*'SET Settings'!$B$70,0))</f>
        <v/>
      </c>
      <c r="O47" s="43" t="str">
        <f aca="false">IF($A47="","",IFERROR(G47*D47*(1+'SET Settings'!$B$71),0))</f>
        <v/>
      </c>
      <c r="P47" s="43" t="str">
        <f aca="false">IF($A47="","",IFERROR(H47*D47*'SET Settings'!$B$72,0))</f>
        <v/>
      </c>
      <c r="Q47" s="43" t="str">
        <f aca="false">IF($A47="","",IFERROR(I47*D47*'SET Settings'!$B$73,0))</f>
        <v/>
      </c>
      <c r="R47" s="43" t="str">
        <f aca="false">IF($A47="","",IFERROR(J47*D47*'SET Settings'!$B$74,0))</f>
        <v/>
      </c>
      <c r="S47" s="45"/>
      <c r="T47" s="45"/>
      <c r="U47" s="46" t="str">
        <f aca="false">IF($A47="","",IFERROR(L47+M47+N47+O47+P47+Q47+R47+S47+T47,0))</f>
        <v/>
      </c>
      <c r="V47" s="43" t="str">
        <f aca="false">IF($A47="","",ROUND(IFERROR(MAX(0,(INDEX('SET Settings'!$D$6:$D$12,MATCH(U47*12,'SET Settings'!$A$6:$A$12,1))+(U47*12-INDEX('SET Settings'!$A$6:$A$12,MATCH(U47*12,'SET Settings'!$A$6:$A$12,1)))*INDEX('SET Settings'!$C$6:$C$12,MATCH(U47*12,'SET Settings'!$A$6:$A$12,1))/100))/12,0),2))</f>
        <v/>
      </c>
      <c r="W47" s="43" t="str">
        <f aca="false">IF($A47="","",IFERROR(MIN(U47*'SET Settings'!$B$16,'SET Settings'!$B$18),0))</f>
        <v/>
      </c>
      <c r="X47" s="45"/>
      <c r="Y47" s="45"/>
      <c r="Z47" s="45"/>
      <c r="AA47" s="45"/>
      <c r="AB47" s="43" t="str">
        <f aca="false">IF($A47="","",IFERROR(V47+W47+X47+Y47+Z47+AA47,0))</f>
        <v/>
      </c>
      <c r="AC47" s="47" t="str">
        <f aca="false">IF($A47="","",IFERROR(U47-AB47,0))</f>
        <v/>
      </c>
      <c r="AD47" s="43" t="str">
        <f aca="false">IF($A47="","",IFERROR(VLOOKUP(A47,'HIST Monthly History'!$A:$O,15,0),0))</f>
        <v/>
      </c>
      <c r="AE47" s="43" t="str">
        <f aca="true">IF($A47="","",IFERROR(V47*MONTH(TODAY()),0))</f>
        <v/>
      </c>
      <c r="AF47" s="48" t="str">
        <f aca="false">IF(A47="","",IFERROR(VLOOKUP(A47,'EMP Employees'!$A:$V,13,0),""))</f>
        <v/>
      </c>
      <c r="AG47" s="48" t="str">
        <f aca="false">IF(A47="","",IFERROR(VLOOKUP(A47,'EMP Employees'!$A:$V,14,0),""))</f>
        <v/>
      </c>
    </row>
    <row r="48" customFormat="false" ht="15" hidden="false" customHeight="true" outlineLevel="0" collapsed="false">
      <c r="A48" s="41"/>
      <c r="B48" s="42" t="str">
        <f aca="false">IF(A48="","",IFERROR(VLOOKUP(A48,'EMP Employees'!$A:$V,2,0),""))</f>
        <v/>
      </c>
      <c r="C48" s="42" t="str">
        <f aca="false">IF(A48="","",IFERROR(VLOOKUP(A48,'EMP Employees'!$A:$V,18,0),""))</f>
        <v/>
      </c>
      <c r="D48" s="43" t="str">
        <f aca="false">IF(A48="","",IFERROR(IF(C48="Hourly",VLOOKUP(A48,'EMP Employees'!$A:$V,19,0),IF(C48="Monthly",VLOOKUP(A48,'EMP Employees'!$A:$V,20,0)/'SET Settings'!$B$87,0)),0))</f>
        <v/>
      </c>
      <c r="E48" s="44"/>
      <c r="F48" s="44"/>
      <c r="G48" s="44"/>
      <c r="H48" s="44"/>
      <c r="I48" s="44"/>
      <c r="J48" s="44"/>
      <c r="K48" s="44"/>
      <c r="L48" s="43" t="str">
        <f aca="false">IF($A48="","",IFERROR(IF(C48="Monthly",VLOOKUP(A48,'EMP Employees'!$A:$V,20,0),0),0))</f>
        <v/>
      </c>
      <c r="M48" s="43" t="str">
        <f aca="false">IF($A48="","",IFERROR(E48*D48,0))</f>
        <v/>
      </c>
      <c r="N48" s="43" t="str">
        <f aca="false">IF($A48="","",IFERROR(F48*D48*'SET Settings'!$B$70,0))</f>
        <v/>
      </c>
      <c r="O48" s="43" t="str">
        <f aca="false">IF($A48="","",IFERROR(G48*D48*(1+'SET Settings'!$B$71),0))</f>
        <v/>
      </c>
      <c r="P48" s="43" t="str">
        <f aca="false">IF($A48="","",IFERROR(H48*D48*'SET Settings'!$B$72,0))</f>
        <v/>
      </c>
      <c r="Q48" s="43" t="str">
        <f aca="false">IF($A48="","",IFERROR(I48*D48*'SET Settings'!$B$73,0))</f>
        <v/>
      </c>
      <c r="R48" s="43" t="str">
        <f aca="false">IF($A48="","",IFERROR(J48*D48*'SET Settings'!$B$74,0))</f>
        <v/>
      </c>
      <c r="S48" s="45"/>
      <c r="T48" s="45"/>
      <c r="U48" s="46" t="str">
        <f aca="false">IF($A48="","",IFERROR(L48+M48+N48+O48+P48+Q48+R48+S48+T48,0))</f>
        <v/>
      </c>
      <c r="V48" s="43" t="str">
        <f aca="false">IF($A48="","",ROUND(IFERROR(MAX(0,(INDEX('SET Settings'!$D$6:$D$12,MATCH(U48*12,'SET Settings'!$A$6:$A$12,1))+(U48*12-INDEX('SET Settings'!$A$6:$A$12,MATCH(U48*12,'SET Settings'!$A$6:$A$12,1)))*INDEX('SET Settings'!$C$6:$C$12,MATCH(U48*12,'SET Settings'!$A$6:$A$12,1))/100))/12,0),2))</f>
        <v/>
      </c>
      <c r="W48" s="43" t="str">
        <f aca="false">IF($A48="","",IFERROR(MIN(U48*'SET Settings'!$B$16,'SET Settings'!$B$18),0))</f>
        <v/>
      </c>
      <c r="X48" s="45"/>
      <c r="Y48" s="45"/>
      <c r="Z48" s="45"/>
      <c r="AA48" s="45"/>
      <c r="AB48" s="43" t="str">
        <f aca="false">IF($A48="","",IFERROR(V48+W48+X48+Y48+Z48+AA48,0))</f>
        <v/>
      </c>
      <c r="AC48" s="47" t="str">
        <f aca="false">IF($A48="","",IFERROR(U48-AB48,0))</f>
        <v/>
      </c>
      <c r="AD48" s="43" t="str">
        <f aca="false">IF($A48="","",IFERROR(VLOOKUP(A48,'HIST Monthly History'!$A:$O,15,0),0))</f>
        <v/>
      </c>
      <c r="AE48" s="43" t="str">
        <f aca="true">IF($A48="","",IFERROR(V48*MONTH(TODAY()),0))</f>
        <v/>
      </c>
      <c r="AF48" s="48" t="str">
        <f aca="false">IF(A48="","",IFERROR(VLOOKUP(A48,'EMP Employees'!$A:$V,13,0),""))</f>
        <v/>
      </c>
      <c r="AG48" s="48" t="str">
        <f aca="false">IF(A48="","",IFERROR(VLOOKUP(A48,'EMP Employees'!$A:$V,14,0),""))</f>
        <v/>
      </c>
    </row>
    <row r="49" customFormat="false" ht="15" hidden="false" customHeight="true" outlineLevel="0" collapsed="false">
      <c r="A49" s="41"/>
      <c r="B49" s="42" t="str">
        <f aca="false">IF(A49="","",IFERROR(VLOOKUP(A49,'EMP Employees'!$A:$V,2,0),""))</f>
        <v/>
      </c>
      <c r="C49" s="42" t="str">
        <f aca="false">IF(A49="","",IFERROR(VLOOKUP(A49,'EMP Employees'!$A:$V,18,0),""))</f>
        <v/>
      </c>
      <c r="D49" s="43" t="str">
        <f aca="false">IF(A49="","",IFERROR(IF(C49="Hourly",VLOOKUP(A49,'EMP Employees'!$A:$V,19,0),IF(C49="Monthly",VLOOKUP(A49,'EMP Employees'!$A:$V,20,0)/'SET Settings'!$B$87,0)),0))</f>
        <v/>
      </c>
      <c r="E49" s="44"/>
      <c r="F49" s="44"/>
      <c r="G49" s="44"/>
      <c r="H49" s="44"/>
      <c r="I49" s="44"/>
      <c r="J49" s="44"/>
      <c r="K49" s="44"/>
      <c r="L49" s="43" t="str">
        <f aca="false">IF($A49="","",IFERROR(IF(C49="Monthly",VLOOKUP(A49,'EMP Employees'!$A:$V,20,0),0),0))</f>
        <v/>
      </c>
      <c r="M49" s="43" t="str">
        <f aca="false">IF($A49="","",IFERROR(E49*D49,0))</f>
        <v/>
      </c>
      <c r="N49" s="43" t="str">
        <f aca="false">IF($A49="","",IFERROR(F49*D49*'SET Settings'!$B$70,0))</f>
        <v/>
      </c>
      <c r="O49" s="43" t="str">
        <f aca="false">IF($A49="","",IFERROR(G49*D49*(1+'SET Settings'!$B$71),0))</f>
        <v/>
      </c>
      <c r="P49" s="43" t="str">
        <f aca="false">IF($A49="","",IFERROR(H49*D49*'SET Settings'!$B$72,0))</f>
        <v/>
      </c>
      <c r="Q49" s="43" t="str">
        <f aca="false">IF($A49="","",IFERROR(I49*D49*'SET Settings'!$B$73,0))</f>
        <v/>
      </c>
      <c r="R49" s="43" t="str">
        <f aca="false">IF($A49="","",IFERROR(J49*D49*'SET Settings'!$B$74,0))</f>
        <v/>
      </c>
      <c r="S49" s="45"/>
      <c r="T49" s="45"/>
      <c r="U49" s="46" t="str">
        <f aca="false">IF($A49="","",IFERROR(L49+M49+N49+O49+P49+Q49+R49+S49+T49,0))</f>
        <v/>
      </c>
      <c r="V49" s="43" t="str">
        <f aca="false">IF($A49="","",ROUND(IFERROR(MAX(0,(INDEX('SET Settings'!$D$6:$D$12,MATCH(U49*12,'SET Settings'!$A$6:$A$12,1))+(U49*12-INDEX('SET Settings'!$A$6:$A$12,MATCH(U49*12,'SET Settings'!$A$6:$A$12,1)))*INDEX('SET Settings'!$C$6:$C$12,MATCH(U49*12,'SET Settings'!$A$6:$A$12,1))/100))/12,0),2))</f>
        <v/>
      </c>
      <c r="W49" s="43" t="str">
        <f aca="false">IF($A49="","",IFERROR(MIN(U49*'SET Settings'!$B$16,'SET Settings'!$B$18),0))</f>
        <v/>
      </c>
      <c r="X49" s="45"/>
      <c r="Y49" s="45"/>
      <c r="Z49" s="45"/>
      <c r="AA49" s="45"/>
      <c r="AB49" s="43" t="str">
        <f aca="false">IF($A49="","",IFERROR(V49+W49+X49+Y49+Z49+AA49,0))</f>
        <v/>
      </c>
      <c r="AC49" s="47" t="str">
        <f aca="false">IF($A49="","",IFERROR(U49-AB49,0))</f>
        <v/>
      </c>
      <c r="AD49" s="43" t="str">
        <f aca="false">IF($A49="","",IFERROR(VLOOKUP(A49,'HIST Monthly History'!$A:$O,15,0),0))</f>
        <v/>
      </c>
      <c r="AE49" s="43" t="str">
        <f aca="true">IF($A49="","",IFERROR(V49*MONTH(TODAY()),0))</f>
        <v/>
      </c>
      <c r="AF49" s="48" t="str">
        <f aca="false">IF(A49="","",IFERROR(VLOOKUP(A49,'EMP Employees'!$A:$V,13,0),""))</f>
        <v/>
      </c>
      <c r="AG49" s="48" t="str">
        <f aca="false">IF(A49="","",IFERROR(VLOOKUP(A49,'EMP Employees'!$A:$V,14,0),""))</f>
        <v/>
      </c>
    </row>
    <row r="50" customFormat="false" ht="15" hidden="false" customHeight="true" outlineLevel="0" collapsed="false">
      <c r="A50" s="41"/>
      <c r="B50" s="42" t="str">
        <f aca="false">IF(A50="","",IFERROR(VLOOKUP(A50,'EMP Employees'!$A:$V,2,0),""))</f>
        <v/>
      </c>
      <c r="C50" s="42" t="str">
        <f aca="false">IF(A50="","",IFERROR(VLOOKUP(A50,'EMP Employees'!$A:$V,18,0),""))</f>
        <v/>
      </c>
      <c r="D50" s="43" t="str">
        <f aca="false">IF(A50="","",IFERROR(IF(C50="Hourly",VLOOKUP(A50,'EMP Employees'!$A:$V,19,0),IF(C50="Monthly",VLOOKUP(A50,'EMP Employees'!$A:$V,20,0)/'SET Settings'!$B$87,0)),0))</f>
        <v/>
      </c>
      <c r="E50" s="44"/>
      <c r="F50" s="44"/>
      <c r="G50" s="44"/>
      <c r="H50" s="44"/>
      <c r="I50" s="44"/>
      <c r="J50" s="44"/>
      <c r="K50" s="44"/>
      <c r="L50" s="43" t="str">
        <f aca="false">IF($A50="","",IFERROR(IF(C50="Monthly",VLOOKUP(A50,'EMP Employees'!$A:$V,20,0),0),0))</f>
        <v/>
      </c>
      <c r="M50" s="43" t="str">
        <f aca="false">IF($A50="","",IFERROR(E50*D50,0))</f>
        <v/>
      </c>
      <c r="N50" s="43" t="str">
        <f aca="false">IF($A50="","",IFERROR(F50*D50*'SET Settings'!$B$70,0))</f>
        <v/>
      </c>
      <c r="O50" s="43" t="str">
        <f aca="false">IF($A50="","",IFERROR(G50*D50*(1+'SET Settings'!$B$71),0))</f>
        <v/>
      </c>
      <c r="P50" s="43" t="str">
        <f aca="false">IF($A50="","",IFERROR(H50*D50*'SET Settings'!$B$72,0))</f>
        <v/>
      </c>
      <c r="Q50" s="43" t="str">
        <f aca="false">IF($A50="","",IFERROR(I50*D50*'SET Settings'!$B$73,0))</f>
        <v/>
      </c>
      <c r="R50" s="43" t="str">
        <f aca="false">IF($A50="","",IFERROR(J50*D50*'SET Settings'!$B$74,0))</f>
        <v/>
      </c>
      <c r="S50" s="45"/>
      <c r="T50" s="45"/>
      <c r="U50" s="46" t="str">
        <f aca="false">IF($A50="","",IFERROR(L50+M50+N50+O50+P50+Q50+R50+S50+T50,0))</f>
        <v/>
      </c>
      <c r="V50" s="43" t="str">
        <f aca="false">IF($A50="","",ROUND(IFERROR(MAX(0,(INDEX('SET Settings'!$D$6:$D$12,MATCH(U50*12,'SET Settings'!$A$6:$A$12,1))+(U50*12-INDEX('SET Settings'!$A$6:$A$12,MATCH(U50*12,'SET Settings'!$A$6:$A$12,1)))*INDEX('SET Settings'!$C$6:$C$12,MATCH(U50*12,'SET Settings'!$A$6:$A$12,1))/100))/12,0),2))</f>
        <v/>
      </c>
      <c r="W50" s="43" t="str">
        <f aca="false">IF($A50="","",IFERROR(MIN(U50*'SET Settings'!$B$16,'SET Settings'!$B$18),0))</f>
        <v/>
      </c>
      <c r="X50" s="45"/>
      <c r="Y50" s="45"/>
      <c r="Z50" s="45"/>
      <c r="AA50" s="45"/>
      <c r="AB50" s="43" t="str">
        <f aca="false">IF($A50="","",IFERROR(V50+W50+X50+Y50+Z50+AA50,0))</f>
        <v/>
      </c>
      <c r="AC50" s="47" t="str">
        <f aca="false">IF($A50="","",IFERROR(U50-AB50,0))</f>
        <v/>
      </c>
      <c r="AD50" s="43" t="str">
        <f aca="false">IF($A50="","",IFERROR(VLOOKUP(A50,'HIST Monthly History'!$A:$O,15,0),0))</f>
        <v/>
      </c>
      <c r="AE50" s="43" t="str">
        <f aca="true">IF($A50="","",IFERROR(V50*MONTH(TODAY()),0))</f>
        <v/>
      </c>
      <c r="AF50" s="48" t="str">
        <f aca="false">IF(A50="","",IFERROR(VLOOKUP(A50,'EMP Employees'!$A:$V,13,0),""))</f>
        <v/>
      </c>
      <c r="AG50" s="48" t="str">
        <f aca="false">IF(A50="","",IFERROR(VLOOKUP(A50,'EMP Employees'!$A:$V,14,0),""))</f>
        <v/>
      </c>
    </row>
    <row r="51" customFormat="false" ht="15" hidden="false" customHeight="true" outlineLevel="0" collapsed="false">
      <c r="A51" s="41"/>
      <c r="B51" s="42" t="str">
        <f aca="false">IF(A51="","",IFERROR(VLOOKUP(A51,'EMP Employees'!$A:$V,2,0),""))</f>
        <v/>
      </c>
      <c r="C51" s="42" t="str">
        <f aca="false">IF(A51="","",IFERROR(VLOOKUP(A51,'EMP Employees'!$A:$V,18,0),""))</f>
        <v/>
      </c>
      <c r="D51" s="43" t="str">
        <f aca="false">IF(A51="","",IFERROR(IF(C51="Hourly",VLOOKUP(A51,'EMP Employees'!$A:$V,19,0),IF(C51="Monthly",VLOOKUP(A51,'EMP Employees'!$A:$V,20,0)/'SET Settings'!$B$87,0)),0))</f>
        <v/>
      </c>
      <c r="E51" s="44"/>
      <c r="F51" s="44"/>
      <c r="G51" s="44"/>
      <c r="H51" s="44"/>
      <c r="I51" s="44"/>
      <c r="J51" s="44"/>
      <c r="K51" s="44"/>
      <c r="L51" s="43" t="str">
        <f aca="false">IF($A51="","",IFERROR(IF(C51="Monthly",VLOOKUP(A51,'EMP Employees'!$A:$V,20,0),0),0))</f>
        <v/>
      </c>
      <c r="M51" s="43" t="str">
        <f aca="false">IF($A51="","",IFERROR(E51*D51,0))</f>
        <v/>
      </c>
      <c r="N51" s="43" t="str">
        <f aca="false">IF($A51="","",IFERROR(F51*D51*'SET Settings'!$B$70,0))</f>
        <v/>
      </c>
      <c r="O51" s="43" t="str">
        <f aca="false">IF($A51="","",IFERROR(G51*D51*(1+'SET Settings'!$B$71),0))</f>
        <v/>
      </c>
      <c r="P51" s="43" t="str">
        <f aca="false">IF($A51="","",IFERROR(H51*D51*'SET Settings'!$B$72,0))</f>
        <v/>
      </c>
      <c r="Q51" s="43" t="str">
        <f aca="false">IF($A51="","",IFERROR(I51*D51*'SET Settings'!$B$73,0))</f>
        <v/>
      </c>
      <c r="R51" s="43" t="str">
        <f aca="false">IF($A51="","",IFERROR(J51*D51*'SET Settings'!$B$74,0))</f>
        <v/>
      </c>
      <c r="S51" s="45"/>
      <c r="T51" s="45"/>
      <c r="U51" s="46" t="str">
        <f aca="false">IF($A51="","",IFERROR(L51+M51+N51+O51+P51+Q51+R51+S51+T51,0))</f>
        <v/>
      </c>
      <c r="V51" s="43" t="str">
        <f aca="false">IF($A51="","",ROUND(IFERROR(MAX(0,(INDEX('SET Settings'!$D$6:$D$12,MATCH(U51*12,'SET Settings'!$A$6:$A$12,1))+(U51*12-INDEX('SET Settings'!$A$6:$A$12,MATCH(U51*12,'SET Settings'!$A$6:$A$12,1)))*INDEX('SET Settings'!$C$6:$C$12,MATCH(U51*12,'SET Settings'!$A$6:$A$12,1))/100))/12,0),2))</f>
        <v/>
      </c>
      <c r="W51" s="43" t="str">
        <f aca="false">IF($A51="","",IFERROR(MIN(U51*'SET Settings'!$B$16,'SET Settings'!$B$18),0))</f>
        <v/>
      </c>
      <c r="X51" s="45"/>
      <c r="Y51" s="45"/>
      <c r="Z51" s="45"/>
      <c r="AA51" s="45"/>
      <c r="AB51" s="43" t="str">
        <f aca="false">IF($A51="","",IFERROR(V51+W51+X51+Y51+Z51+AA51,0))</f>
        <v/>
      </c>
      <c r="AC51" s="47" t="str">
        <f aca="false">IF($A51="","",IFERROR(U51-AB51,0))</f>
        <v/>
      </c>
      <c r="AD51" s="43" t="str">
        <f aca="false">IF($A51="","",IFERROR(VLOOKUP(A51,'HIST Monthly History'!$A:$O,15,0),0))</f>
        <v/>
      </c>
      <c r="AE51" s="43" t="str">
        <f aca="true">IF($A51="","",IFERROR(V51*MONTH(TODAY()),0))</f>
        <v/>
      </c>
      <c r="AF51" s="48" t="str">
        <f aca="false">IF(A51="","",IFERROR(VLOOKUP(A51,'EMP Employees'!$A:$V,13,0),""))</f>
        <v/>
      </c>
      <c r="AG51" s="48" t="str">
        <f aca="false">IF(A51="","",IFERROR(VLOOKUP(A51,'EMP Employees'!$A:$V,14,0),""))</f>
        <v/>
      </c>
    </row>
    <row r="52" customFormat="false" ht="15" hidden="false" customHeight="true" outlineLevel="0" collapsed="false">
      <c r="A52" s="41"/>
      <c r="B52" s="42" t="str">
        <f aca="false">IF(A52="","",IFERROR(VLOOKUP(A52,'EMP Employees'!$A:$V,2,0),""))</f>
        <v/>
      </c>
      <c r="C52" s="42" t="str">
        <f aca="false">IF(A52="","",IFERROR(VLOOKUP(A52,'EMP Employees'!$A:$V,18,0),""))</f>
        <v/>
      </c>
      <c r="D52" s="43" t="str">
        <f aca="false">IF(A52="","",IFERROR(IF(C52="Hourly",VLOOKUP(A52,'EMP Employees'!$A:$V,19,0),IF(C52="Monthly",VLOOKUP(A52,'EMP Employees'!$A:$V,20,0)/'SET Settings'!$B$87,0)),0))</f>
        <v/>
      </c>
      <c r="E52" s="44"/>
      <c r="F52" s="44"/>
      <c r="G52" s="44"/>
      <c r="H52" s="44"/>
      <c r="I52" s="44"/>
      <c r="J52" s="44"/>
      <c r="K52" s="44"/>
      <c r="L52" s="43" t="str">
        <f aca="false">IF($A52="","",IFERROR(IF(C52="Monthly",VLOOKUP(A52,'EMP Employees'!$A:$V,20,0),0),0))</f>
        <v/>
      </c>
      <c r="M52" s="43" t="str">
        <f aca="false">IF($A52="","",IFERROR(E52*D52,0))</f>
        <v/>
      </c>
      <c r="N52" s="43" t="str">
        <f aca="false">IF($A52="","",IFERROR(F52*D52*'SET Settings'!$B$70,0))</f>
        <v/>
      </c>
      <c r="O52" s="43" t="str">
        <f aca="false">IF($A52="","",IFERROR(G52*D52*(1+'SET Settings'!$B$71),0))</f>
        <v/>
      </c>
      <c r="P52" s="43" t="str">
        <f aca="false">IF($A52="","",IFERROR(H52*D52*'SET Settings'!$B$72,0))</f>
        <v/>
      </c>
      <c r="Q52" s="43" t="str">
        <f aca="false">IF($A52="","",IFERROR(I52*D52*'SET Settings'!$B$73,0))</f>
        <v/>
      </c>
      <c r="R52" s="43" t="str">
        <f aca="false">IF($A52="","",IFERROR(J52*D52*'SET Settings'!$B$74,0))</f>
        <v/>
      </c>
      <c r="S52" s="45"/>
      <c r="T52" s="45"/>
      <c r="U52" s="46" t="str">
        <f aca="false">IF($A52="","",IFERROR(L52+M52+N52+O52+P52+Q52+R52+S52+T52,0))</f>
        <v/>
      </c>
      <c r="V52" s="43" t="str">
        <f aca="false">IF($A52="","",ROUND(IFERROR(MAX(0,(INDEX('SET Settings'!$D$6:$D$12,MATCH(U52*12,'SET Settings'!$A$6:$A$12,1))+(U52*12-INDEX('SET Settings'!$A$6:$A$12,MATCH(U52*12,'SET Settings'!$A$6:$A$12,1)))*INDEX('SET Settings'!$C$6:$C$12,MATCH(U52*12,'SET Settings'!$A$6:$A$12,1))/100))/12,0),2))</f>
        <v/>
      </c>
      <c r="W52" s="43" t="str">
        <f aca="false">IF($A52="","",IFERROR(MIN(U52*'SET Settings'!$B$16,'SET Settings'!$B$18),0))</f>
        <v/>
      </c>
      <c r="X52" s="45"/>
      <c r="Y52" s="45"/>
      <c r="Z52" s="45"/>
      <c r="AA52" s="45"/>
      <c r="AB52" s="43" t="str">
        <f aca="false">IF($A52="","",IFERROR(V52+W52+X52+Y52+Z52+AA52,0))</f>
        <v/>
      </c>
      <c r="AC52" s="47" t="str">
        <f aca="false">IF($A52="","",IFERROR(U52-AB52,0))</f>
        <v/>
      </c>
      <c r="AD52" s="43" t="str">
        <f aca="false">IF($A52="","",IFERROR(VLOOKUP(A52,'HIST Monthly History'!$A:$O,15,0),0))</f>
        <v/>
      </c>
      <c r="AE52" s="43" t="str">
        <f aca="true">IF($A52="","",IFERROR(V52*MONTH(TODAY()),0))</f>
        <v/>
      </c>
      <c r="AF52" s="48" t="str">
        <f aca="false">IF(A52="","",IFERROR(VLOOKUP(A52,'EMP Employees'!$A:$V,13,0),""))</f>
        <v/>
      </c>
      <c r="AG52" s="48" t="str">
        <f aca="false">IF(A52="","",IFERROR(VLOOKUP(A52,'EMP Employees'!$A:$V,14,0),""))</f>
        <v/>
      </c>
    </row>
    <row r="53" customFormat="false" ht="15" hidden="false" customHeight="true" outlineLevel="0" collapsed="false">
      <c r="A53" s="41"/>
      <c r="B53" s="42" t="str">
        <f aca="false">IF(A53="","",IFERROR(VLOOKUP(A53,'EMP Employees'!$A:$V,2,0),""))</f>
        <v/>
      </c>
      <c r="C53" s="42" t="str">
        <f aca="false">IF(A53="","",IFERROR(VLOOKUP(A53,'EMP Employees'!$A:$V,18,0),""))</f>
        <v/>
      </c>
      <c r="D53" s="43" t="str">
        <f aca="false">IF(A53="","",IFERROR(IF(C53="Hourly",VLOOKUP(A53,'EMP Employees'!$A:$V,19,0),IF(C53="Monthly",VLOOKUP(A53,'EMP Employees'!$A:$V,20,0)/'SET Settings'!$B$87,0)),0))</f>
        <v/>
      </c>
      <c r="E53" s="44"/>
      <c r="F53" s="44"/>
      <c r="G53" s="44"/>
      <c r="H53" s="44"/>
      <c r="I53" s="44"/>
      <c r="J53" s="44"/>
      <c r="K53" s="44"/>
      <c r="L53" s="43" t="str">
        <f aca="false">IF($A53="","",IFERROR(IF(C53="Monthly",VLOOKUP(A53,'EMP Employees'!$A:$V,20,0),0),0))</f>
        <v/>
      </c>
      <c r="M53" s="43" t="str">
        <f aca="false">IF($A53="","",IFERROR(E53*D53,0))</f>
        <v/>
      </c>
      <c r="N53" s="43" t="str">
        <f aca="false">IF($A53="","",IFERROR(F53*D53*'SET Settings'!$B$70,0))</f>
        <v/>
      </c>
      <c r="O53" s="43" t="str">
        <f aca="false">IF($A53="","",IFERROR(G53*D53*(1+'SET Settings'!$B$71),0))</f>
        <v/>
      </c>
      <c r="P53" s="43" t="str">
        <f aca="false">IF($A53="","",IFERROR(H53*D53*'SET Settings'!$B$72,0))</f>
        <v/>
      </c>
      <c r="Q53" s="43" t="str">
        <f aca="false">IF($A53="","",IFERROR(I53*D53*'SET Settings'!$B$73,0))</f>
        <v/>
      </c>
      <c r="R53" s="43" t="str">
        <f aca="false">IF($A53="","",IFERROR(J53*D53*'SET Settings'!$B$74,0))</f>
        <v/>
      </c>
      <c r="S53" s="45"/>
      <c r="T53" s="45"/>
      <c r="U53" s="46" t="str">
        <f aca="false">IF($A53="","",IFERROR(L53+M53+N53+O53+P53+Q53+R53+S53+T53,0))</f>
        <v/>
      </c>
      <c r="V53" s="43" t="str">
        <f aca="false">IF($A53="","",ROUND(IFERROR(MAX(0,(INDEX('SET Settings'!$D$6:$D$12,MATCH(U53*12,'SET Settings'!$A$6:$A$12,1))+(U53*12-INDEX('SET Settings'!$A$6:$A$12,MATCH(U53*12,'SET Settings'!$A$6:$A$12,1)))*INDEX('SET Settings'!$C$6:$C$12,MATCH(U53*12,'SET Settings'!$A$6:$A$12,1))/100))/12,0),2))</f>
        <v/>
      </c>
      <c r="W53" s="43" t="str">
        <f aca="false">IF($A53="","",IFERROR(MIN(U53*'SET Settings'!$B$16,'SET Settings'!$B$18),0))</f>
        <v/>
      </c>
      <c r="X53" s="45"/>
      <c r="Y53" s="45"/>
      <c r="Z53" s="45"/>
      <c r="AA53" s="45"/>
      <c r="AB53" s="43" t="str">
        <f aca="false">IF($A53="","",IFERROR(V53+W53+X53+Y53+Z53+AA53,0))</f>
        <v/>
      </c>
      <c r="AC53" s="47" t="str">
        <f aca="false">IF($A53="","",IFERROR(U53-AB53,0))</f>
        <v/>
      </c>
      <c r="AD53" s="43" t="str">
        <f aca="false">IF($A53="","",IFERROR(VLOOKUP(A53,'HIST Monthly History'!$A:$O,15,0),0))</f>
        <v/>
      </c>
      <c r="AE53" s="43" t="str">
        <f aca="true">IF($A53="","",IFERROR(V53*MONTH(TODAY()),0))</f>
        <v/>
      </c>
      <c r="AF53" s="48" t="str">
        <f aca="false">IF(A53="","",IFERROR(VLOOKUP(A53,'EMP Employees'!$A:$V,13,0),""))</f>
        <v/>
      </c>
      <c r="AG53" s="48" t="str">
        <f aca="false">IF(A53="","",IFERROR(VLOOKUP(A53,'EMP Employees'!$A:$V,14,0),""))</f>
        <v/>
      </c>
    </row>
    <row r="54" customFormat="false" ht="15" hidden="false" customHeight="true" outlineLevel="0" collapsed="false">
      <c r="A54" s="49" t="s">
        <v>146</v>
      </c>
      <c r="B54" s="49"/>
      <c r="C54" s="49"/>
      <c r="D54" s="49"/>
      <c r="E54" s="49" t="n">
        <f aca="false">SUM(E4:E53)</f>
        <v>0</v>
      </c>
      <c r="F54" s="49" t="n">
        <f aca="false">SUM(F4:F53)</f>
        <v>0</v>
      </c>
      <c r="G54" s="49" t="n">
        <f aca="false">SUM(G4:G53)</f>
        <v>0</v>
      </c>
      <c r="H54" s="49" t="n">
        <f aca="false">SUM(H4:H53)</f>
        <v>0</v>
      </c>
      <c r="I54" s="49" t="n">
        <f aca="false">SUM(I4:I53)</f>
        <v>0</v>
      </c>
      <c r="J54" s="49" t="n">
        <f aca="false">SUM(J4:J53)</f>
        <v>0</v>
      </c>
      <c r="K54" s="49" t="n">
        <f aca="false">SUM(K4:K53)</f>
        <v>0</v>
      </c>
      <c r="L54" s="49" t="n">
        <f aca="false">SUM(L4:L53)</f>
        <v>0</v>
      </c>
      <c r="M54" s="49" t="n">
        <f aca="false">SUM(M4:M53)</f>
        <v>0</v>
      </c>
      <c r="N54" s="49" t="n">
        <f aca="false">SUM(N4:N53)</f>
        <v>0</v>
      </c>
      <c r="O54" s="49" t="n">
        <f aca="false">SUM(O4:O53)</f>
        <v>0</v>
      </c>
      <c r="P54" s="49" t="n">
        <f aca="false">SUM(P4:P53)</f>
        <v>0</v>
      </c>
      <c r="Q54" s="49" t="n">
        <f aca="false">SUM(Q4:Q53)</f>
        <v>0</v>
      </c>
      <c r="R54" s="49" t="n">
        <f aca="false">SUM(R4:R53)</f>
        <v>0</v>
      </c>
      <c r="S54" s="49" t="n">
        <f aca="false">SUM(S4:S53)</f>
        <v>0</v>
      </c>
      <c r="T54" s="49" t="n">
        <f aca="false">SUM(T4:T53)</f>
        <v>0</v>
      </c>
      <c r="U54" s="49" t="n">
        <f aca="false">SUM(U4:U53)</f>
        <v>0</v>
      </c>
      <c r="V54" s="49" t="n">
        <f aca="false">SUM(V4:V53)</f>
        <v>0</v>
      </c>
      <c r="W54" s="49" t="n">
        <f aca="false">SUM(W4:W53)</f>
        <v>0</v>
      </c>
      <c r="X54" s="49" t="n">
        <f aca="false">SUM(X4:X53)</f>
        <v>0</v>
      </c>
      <c r="Y54" s="49" t="n">
        <f aca="false">SUM(Y4:Y53)</f>
        <v>0</v>
      </c>
      <c r="Z54" s="49" t="n">
        <f aca="false">SUM(Z4:Z53)</f>
        <v>0</v>
      </c>
      <c r="AA54" s="49" t="n">
        <f aca="false">SUM(AA4:AA53)</f>
        <v>0</v>
      </c>
      <c r="AB54" s="49" t="n">
        <f aca="false">SUM(AB4:AB53)</f>
        <v>0</v>
      </c>
      <c r="AC54" s="49" t="n">
        <f aca="false">SUM(AC4:AC53)</f>
        <v>0</v>
      </c>
      <c r="AD54" s="49" t="n">
        <f aca="false">SUM(AD4:AD53)</f>
        <v>0</v>
      </c>
      <c r="AE54" s="49" t="n">
        <f aca="false">SUM(AE4:AE53)</f>
        <v>0</v>
      </c>
    </row>
    <row r="55" customFormat="false" ht="15" hidden="false" customHeight="true" outlineLevel="0" collapsed="false">
      <c r="A55" s="31" t="s">
        <v>147</v>
      </c>
    </row>
  </sheetData>
  <sheetProtection sheet="true" password="dd98" formatColumns="false" formatRows="false" sort="false" autoFilter="false"/>
  <mergeCells count="6">
    <mergeCell ref="A1:AE1"/>
    <mergeCell ref="A2:D2"/>
    <mergeCell ref="E2:K2"/>
    <mergeCell ref="L2:T2"/>
    <mergeCell ref="V2:AA2"/>
    <mergeCell ref="AD2:AE2"/>
  </mergeCells>
  <conditionalFormatting sqref="F4:F53">
    <cfRule type="cellIs" priority="2" operator="greaterThan" aboveAverage="0" equalAverage="0" bottom="0" percent="0" rank="0" text="" dxfId="6">
      <formula>43</formula>
    </cfRule>
  </conditionalFormatting>
  <conditionalFormatting sqref="H4:H53">
    <cfRule type="cellIs" priority="3" operator="greaterThan" aboveAverage="0" equalAverage="0" bottom="0" percent="0" rank="0" text="" dxfId="6">
      <formula>43</formula>
    </cfRule>
  </conditionalFormatting>
  <dataValidations count="7">
    <dataValidation allowBlank="true" errorStyle="stop" operator="between" prompt="Select Employee ID from the master database" promptTitle="Employee" showDropDown="false" showErrorMessage="false" showInputMessage="true" sqref="A4:A53" type="list">
      <formula1>'EMP Employees'!$A$3:$A$52</formula1>
      <formula2>0</formula2>
    </dataValidation>
    <dataValidation allowBlank="true" error="Enter a number ≥ 0" errorStyle="stop" operator="greaterThanOrEqual" prompt="Ordinary hours worked (max 45/week, 9/day)" promptTitle="Normal Hours" showDropDown="false" showErrorMessage="true" showInputMessage="true" sqref="E4:E53" type="decimal">
      <formula1>0</formula1>
      <formula2>0</formula2>
    </dataValidation>
    <dataValidation allowBlank="true" error="Enter a number ≥ 0" errorStyle="stop" operator="greaterThanOrEqual" prompt="OT on normal days — paid 1.5x. Max 3h/day, 10h/week (Sec.29)" promptTitle="Normal Overtime" showDropDown="false" showErrorMessage="true" showInputMessage="true" sqref="F4:F53" type="decimal">
      <formula1>0</formula1>
      <formula2>0</formula2>
    </dataValidation>
    <dataValidation allowBlank="true" error="Enter a number ≥ 0" errorStyle="stop" operator="greaterThanOrEqual" prompt="Hours worked 20:00–07:00 — paid base +6% (Sec.32)" promptTitle="Night Hours" showDropDown="false" showErrorMessage="true" showInputMessage="true" sqref="G4:G53" type="decimal">
      <formula1>0</formula1>
      <formula2>0</formula2>
    </dataValidation>
    <dataValidation allowBlank="true" error="Enter a number ≥ 0" errorStyle="stop" operator="greaterThanOrEqual" prompt="OT during night hours — paid 1.5 × (base+6%)" promptTitle="Night Overtime" showDropDown="false" showErrorMessage="true" showInputMessage="true" sqref="H4:H53" type="decimal">
      <formula1>0</formula1>
      <formula2>0</formula2>
    </dataValidation>
    <dataValidation allowBlank="true" error="Enter a number ≥ 0" errorStyle="stop" operator="greaterThanOrEqual" prompt="Public holiday hours on an ordinary work day — base rate" promptTitle="P.Holiday Normal" showDropDown="false" showErrorMessage="true" showInputMessage="true" sqref="I4:I53" type="decimal">
      <formula1>0</formula1>
      <formula2>0</formula2>
    </dataValidation>
    <dataValidation allowBlank="true" error="Enter a number ≥ 0" errorStyle="stop" operator="greaterThanOrEqual" prompt="Sunday or public holiday — paid 2x (Sec.33)" promptTitle="Sunday/Holiday Double" showDropDown="false" showErrorMessage="true" showInputMessage="true" sqref="J4:J53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6"/>
    <col collapsed="false" customWidth="true" hidden="false" outlineLevel="0" max="5" min="5" style="1" width="16"/>
    <col collapsed="false" customWidth="true" hidden="false" outlineLevel="0" max="6" min="6" style="1" width="2"/>
    <col collapsed="false" customWidth="true" hidden="false" outlineLevel="0" max="7" min="7" style="1" width="22"/>
    <col collapsed="false" customWidth="true" hidden="false" outlineLevel="0" max="8" min="8" style="1" width="18"/>
  </cols>
  <sheetData>
    <row r="1" customFormat="false" ht="27.75" hidden="false" customHeight="true" outlineLevel="0" collapsed="false">
      <c r="A1" s="11"/>
      <c r="B1" s="50" t="s">
        <v>148</v>
      </c>
      <c r="C1" s="50"/>
      <c r="D1" s="51"/>
      <c r="E1" s="11"/>
      <c r="F1" s="10" t="s">
        <v>149</v>
      </c>
      <c r="G1" s="52"/>
      <c r="H1" s="11"/>
      <c r="I1" s="11"/>
      <c r="J1" s="11"/>
    </row>
    <row r="2" customFormat="false" ht="13.5" hidden="false" customHeight="true" outlineLevel="0" collapsed="false">
      <c r="A2" s="11"/>
      <c r="B2" s="53" t="str">
        <f aca="false">IF(D1="","⚠ Enter an Employee ID in cell D1",IF(ISNA(VLOOKUP(D1,'EMP Employees'!A:B,2,0)),"⚠ Invalid Employee ID — please enter a valid ID in cell D1",""))</f>
        <v>⚠ Enter an Employee ID in cell D1</v>
      </c>
      <c r="C2" s="53"/>
      <c r="D2" s="53"/>
      <c r="E2" s="53"/>
      <c r="F2" s="53"/>
      <c r="G2" s="53"/>
      <c r="H2" s="53"/>
      <c r="I2" s="11"/>
      <c r="J2" s="11"/>
    </row>
    <row r="3" customFormat="false" ht="39.75" hidden="false" customHeight="true" outlineLevel="0" collapsed="false">
      <c r="A3" s="11"/>
      <c r="B3" s="54" t="s">
        <v>150</v>
      </c>
      <c r="C3" s="54"/>
      <c r="D3" s="54"/>
      <c r="E3" s="54"/>
      <c r="F3" s="54"/>
      <c r="G3" s="54"/>
      <c r="H3" s="54"/>
      <c r="I3" s="11"/>
      <c r="J3" s="11"/>
    </row>
    <row r="4" customFormat="false" ht="15.75" hidden="false" customHeight="true" outlineLevel="0" collapsed="false">
      <c r="A4" s="11"/>
      <c r="B4" s="55" t="s">
        <v>151</v>
      </c>
      <c r="C4" s="55"/>
      <c r="D4" s="55"/>
      <c r="E4" s="55"/>
      <c r="F4" s="55"/>
      <c r="G4" s="55"/>
      <c r="H4" s="55"/>
      <c r="I4" s="11"/>
      <c r="J4" s="11"/>
    </row>
    <row r="5" customFormat="false" ht="3.75" hidden="false" customHeight="true" outlineLevel="0" collapsed="false">
      <c r="A5" s="11"/>
      <c r="B5" s="11"/>
      <c r="C5" s="11"/>
      <c r="D5" s="11"/>
      <c r="E5" s="11"/>
      <c r="F5" s="11"/>
      <c r="G5" s="11"/>
      <c r="H5" s="11"/>
      <c r="I5" s="11"/>
      <c r="J5" s="11"/>
    </row>
    <row r="6" customFormat="false" ht="24" hidden="false" customHeight="true" outlineLevel="0" collapsed="false">
      <c r="A6" s="11"/>
      <c r="B6" s="56" t="s">
        <v>152</v>
      </c>
      <c r="C6" s="56"/>
      <c r="D6" s="56"/>
      <c r="E6" s="56"/>
      <c r="F6" s="56"/>
      <c r="G6" s="56"/>
      <c r="H6" s="56"/>
      <c r="I6" s="11"/>
      <c r="J6" s="11"/>
    </row>
    <row r="7" customFormat="false" ht="15.75" hidden="false" customHeight="true" outlineLevel="0" collapsed="false">
      <c r="A7" s="11"/>
      <c r="B7" s="57" t="str">
        <f aca="true">IF(G1="",TEXT(TODAY(),"MMMM YYYY"),G1&amp;" "&amp;TEXT(TODAY(),"YYYY"))</f>
        <v>June 2026</v>
      </c>
      <c r="C7" s="57"/>
      <c r="D7" s="57"/>
      <c r="E7" s="57"/>
      <c r="F7" s="57"/>
      <c r="G7" s="57"/>
      <c r="H7" s="57"/>
      <c r="I7" s="11"/>
      <c r="J7" s="11"/>
    </row>
    <row r="8" customFormat="false" ht="15.75" hidden="false" customHeight="tru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</row>
    <row r="9" customFormat="false" ht="18" hidden="false" customHeight="true" outlineLevel="0" collapsed="false">
      <c r="A9" s="11"/>
      <c r="B9" s="58" t="s">
        <v>153</v>
      </c>
      <c r="C9" s="58"/>
      <c r="D9" s="58"/>
      <c r="E9" s="58"/>
      <c r="F9" s="58"/>
      <c r="G9" s="58"/>
      <c r="H9" s="58"/>
      <c r="I9" s="11"/>
      <c r="J9" s="11"/>
    </row>
    <row r="10" customFormat="false" ht="15.75" hidden="false" customHeight="true" outlineLevel="0" collapsed="false">
      <c r="A10" s="11"/>
      <c r="B10" s="59" t="s">
        <v>154</v>
      </c>
      <c r="C10" s="10" t="n">
        <f aca="false">D1</f>
        <v>0</v>
      </c>
      <c r="D10" s="11"/>
      <c r="E10" s="59" t="s">
        <v>155</v>
      </c>
      <c r="F10" s="10" t="str">
        <f aca="false">IF($D$1="","",IFERROR(VLOOKUP($D$1,'EMP Employees'!$A:$V,18,0),""))</f>
        <v/>
      </c>
      <c r="G10" s="11"/>
      <c r="H10" s="11"/>
      <c r="I10" s="11"/>
      <c r="J10" s="11"/>
    </row>
    <row r="11" customFormat="false" ht="15.75" hidden="false" customHeight="true" outlineLevel="0" collapsed="false">
      <c r="A11" s="11"/>
      <c r="B11" s="59" t="s">
        <v>156</v>
      </c>
      <c r="C11" s="10" t="str">
        <f aca="false">IF($D$1="","",IFERROR(VLOOKUP($D$1,'EMP Employees'!$A:$V,2,0),""))</f>
        <v/>
      </c>
      <c r="D11" s="11"/>
      <c r="E11" s="59" t="s">
        <v>157</v>
      </c>
      <c r="F11" s="60" t="str">
        <f aca="false">IFERROR(VLOOKUP(D1,'PAY Payroll'!$A:$D,4,0),"")</f>
        <v/>
      </c>
      <c r="G11" s="11"/>
      <c r="H11" s="11"/>
      <c r="I11" s="11"/>
      <c r="J11" s="11"/>
    </row>
    <row r="12" customFormat="false" ht="15.75" hidden="false" customHeight="true" outlineLevel="0" collapsed="false">
      <c r="A12" s="11"/>
      <c r="B12" s="59" t="s">
        <v>158</v>
      </c>
      <c r="C12" s="10" t="str">
        <f aca="false">IF($D$1="","",IFERROR(VLOOKUP($D$1,'EMP Employees'!$A:$V,3,0),""))</f>
        <v/>
      </c>
      <c r="D12" s="11"/>
      <c r="E12" s="59" t="s">
        <v>159</v>
      </c>
      <c r="F12" s="10" t="str">
        <f aca="false">IF($D$1="","",IFERROR(VLOOKUP($D$1,'EMP Employees'!$A:$V,13,0),""))</f>
        <v/>
      </c>
      <c r="G12" s="11"/>
      <c r="H12" s="11"/>
      <c r="I12" s="11"/>
      <c r="J12" s="11"/>
    </row>
    <row r="13" customFormat="false" ht="15.75" hidden="false" customHeight="true" outlineLevel="0" collapsed="false">
      <c r="A13" s="11"/>
      <c r="B13" s="59" t="s">
        <v>160</v>
      </c>
      <c r="C13" s="61" t="str">
        <f aca="false">IF($D$1="","",IFERROR(VLOOKUP($D$1,'EMP Employees'!$A:$V,6,0),""))</f>
        <v/>
      </c>
      <c r="D13" s="11"/>
      <c r="E13" s="59" t="s">
        <v>161</v>
      </c>
      <c r="F13" s="10" t="str">
        <f aca="false">IF($D$1="","",IFERROR(VLOOKUP($D$1,'EMP Employees'!$A:$V,14,0),""))</f>
        <v/>
      </c>
      <c r="G13" s="11"/>
      <c r="H13" s="11"/>
      <c r="I13" s="11"/>
      <c r="J13" s="11"/>
    </row>
    <row r="14" customFormat="false" ht="15.75" hidden="false" customHeight="true" outlineLevel="0" collapsed="false">
      <c r="A14" s="11"/>
      <c r="B14" s="59" t="s">
        <v>162</v>
      </c>
      <c r="C14" s="10" t="str">
        <f aca="false">IF($D$1="","",IFERROR(VLOOKUP($D$1,'EMP Employees'!$A:$V,7,0),""))</f>
        <v/>
      </c>
      <c r="D14" s="11"/>
      <c r="E14" s="59" t="s">
        <v>163</v>
      </c>
      <c r="F14" s="10" t="str">
        <f aca="false">IF($D$1="","",IFERROR(VLOOKUP($D$1,'EMP Employees'!$A:$V,16,0),""))</f>
        <v/>
      </c>
      <c r="G14" s="11"/>
      <c r="H14" s="11"/>
      <c r="I14" s="11"/>
      <c r="J14" s="11"/>
    </row>
    <row r="15" customFormat="false" ht="18" hidden="false" customHeight="true" outlineLevel="0" collapsed="false">
      <c r="A15" s="11"/>
      <c r="B15" s="59" t="s">
        <v>164</v>
      </c>
      <c r="C15" s="61" t="str">
        <f aca="false">IFERROR(VLOOKUP(D1,'EMP Employees'!$A:$V,12,0),"")</f>
        <v/>
      </c>
      <c r="D15" s="11"/>
      <c r="E15" s="59" t="s">
        <v>165</v>
      </c>
      <c r="F15" s="10" t="str">
        <f aca="false">IF($D$1="","",IFERROR(VLOOKUP($D$1,'EMP Employees'!$A:$V,21,0),""))</f>
        <v/>
      </c>
      <c r="G15" s="11"/>
      <c r="H15" s="11"/>
      <c r="I15" s="11"/>
      <c r="J15" s="11"/>
    </row>
    <row r="16" customFormat="false" ht="15.75" hidden="false" customHeight="true" outlineLevel="0" collapsed="false">
      <c r="A16" s="11"/>
      <c r="B16" s="11"/>
      <c r="C16" s="11"/>
      <c r="D16" s="11"/>
      <c r="E16" s="62"/>
      <c r="F16" s="11"/>
      <c r="G16" s="11"/>
      <c r="H16" s="11"/>
      <c r="I16" s="11"/>
      <c r="J16" s="11"/>
    </row>
    <row r="17" customFormat="false" ht="15.75" hidden="false" customHeight="true" outlineLevel="0" collapsed="false">
      <c r="A17" s="11"/>
      <c r="B17" s="63" t="s">
        <v>112</v>
      </c>
      <c r="C17" s="63"/>
      <c r="D17" s="63"/>
      <c r="E17" s="64" t="s">
        <v>114</v>
      </c>
      <c r="F17" s="64"/>
      <c r="G17" s="64"/>
      <c r="H17" s="64"/>
      <c r="I17" s="11"/>
      <c r="J17" s="11"/>
    </row>
    <row r="18" customFormat="false" ht="15.75" hidden="false" customHeight="true" outlineLevel="0" collapsed="false">
      <c r="A18" s="11"/>
      <c r="B18" s="59" t="s">
        <v>166</v>
      </c>
      <c r="C18" s="11"/>
      <c r="D18" s="65" t="n">
        <f aca="false">IFERROR(VLOOKUP(D1,'PAY Payroll'!$A:$AC,12,0),0)</f>
        <v>0</v>
      </c>
      <c r="E18" s="66" t="s">
        <v>167</v>
      </c>
      <c r="F18" s="11"/>
      <c r="G18" s="11"/>
      <c r="H18" s="65" t="n">
        <f aca="false">IFERROR(VLOOKUP(D1,'PAY Payroll'!$A:$AC,22,0),0)</f>
        <v>0</v>
      </c>
      <c r="I18" s="11"/>
      <c r="J18" s="11"/>
    </row>
    <row r="19" customFormat="false" ht="15.75" hidden="false" customHeight="true" outlineLevel="0" collapsed="false">
      <c r="A19" s="11"/>
      <c r="B19" s="59" t="s">
        <v>168</v>
      </c>
      <c r="C19" s="11"/>
      <c r="D19" s="65" t="n">
        <f aca="false">IFERROR(VLOOKUP(D1,'PAY Payroll'!$A:$AC,13,0),0)</f>
        <v>0</v>
      </c>
      <c r="E19" s="66" t="s">
        <v>169</v>
      </c>
      <c r="F19" s="11"/>
      <c r="G19" s="11"/>
      <c r="H19" s="65" t="n">
        <f aca="false">IFERROR(VLOOKUP(D1,'PAY Payroll'!$A:$AC,23,0),0)</f>
        <v>0</v>
      </c>
      <c r="I19" s="11"/>
      <c r="J19" s="11"/>
    </row>
    <row r="20" customFormat="false" ht="15.75" hidden="false" customHeight="true" outlineLevel="0" collapsed="false">
      <c r="A20" s="11"/>
      <c r="B20" s="59" t="s">
        <v>170</v>
      </c>
      <c r="C20" s="11"/>
      <c r="D20" s="65" t="n">
        <f aca="false">IFERROR(VLOOKUP(D1,'PAY Payroll'!$A:$AC,14,0),0)</f>
        <v>0</v>
      </c>
      <c r="E20" s="66" t="s">
        <v>171</v>
      </c>
      <c r="F20" s="11"/>
      <c r="G20" s="11"/>
      <c r="H20" s="65" t="n">
        <f aca="false">IFERROR(VLOOKUP(D1,'PAY Payroll'!$A:$AC,24,0),0)</f>
        <v>0</v>
      </c>
      <c r="I20" s="11"/>
      <c r="J20" s="11"/>
    </row>
    <row r="21" customFormat="false" ht="15.75" hidden="false" customHeight="true" outlineLevel="0" collapsed="false">
      <c r="A21" s="11"/>
      <c r="B21" s="59" t="s">
        <v>172</v>
      </c>
      <c r="C21" s="11"/>
      <c r="D21" s="65" t="n">
        <f aca="false">IFERROR(VLOOKUP(D1,'PAY Payroll'!$A:$AC,15,0),0)</f>
        <v>0</v>
      </c>
      <c r="E21" s="59" t="s">
        <v>173</v>
      </c>
      <c r="F21" s="11"/>
      <c r="G21" s="11"/>
      <c r="H21" s="65" t="n">
        <f aca="false">IFERROR(VLOOKUP(D1,'PAY Payroll'!$A:$AC,25,0),0)</f>
        <v>0</v>
      </c>
      <c r="I21" s="11"/>
      <c r="J21" s="11"/>
    </row>
    <row r="22" customFormat="false" ht="18" hidden="false" customHeight="true" outlineLevel="0" collapsed="false">
      <c r="A22" s="11"/>
      <c r="B22" s="59" t="s">
        <v>174</v>
      </c>
      <c r="C22" s="11"/>
      <c r="D22" s="65" t="n">
        <f aca="false">IFERROR(VLOOKUP(D1,'PAY Payroll'!$A:$AC,16,0),0)</f>
        <v>0</v>
      </c>
      <c r="E22" s="59" t="s">
        <v>175</v>
      </c>
      <c r="F22" s="11"/>
      <c r="G22" s="11"/>
      <c r="H22" s="65" t="n">
        <f aca="false">IFERROR(VLOOKUP(D1,'PAY Payroll'!$A:$AC,26,0),0)</f>
        <v>0</v>
      </c>
      <c r="I22" s="11"/>
      <c r="J22" s="11"/>
    </row>
    <row r="23" customFormat="false" ht="15.75" hidden="false" customHeight="true" outlineLevel="0" collapsed="false">
      <c r="A23" s="11"/>
      <c r="B23" s="59" t="s">
        <v>176</v>
      </c>
      <c r="C23" s="11"/>
      <c r="D23" s="65" t="n">
        <f aca="false">IFERROR(VLOOKUP(D1,'PAY Payroll'!$A:$AC,17,0),0)</f>
        <v>0</v>
      </c>
      <c r="E23" s="66" t="s">
        <v>177</v>
      </c>
      <c r="F23" s="11"/>
      <c r="G23" s="11"/>
      <c r="H23" s="65" t="n">
        <f aca="false">IFERROR(VLOOKUP(D1,'PAY Payroll'!$A:$AC,27,0),0)</f>
        <v>0</v>
      </c>
      <c r="I23" s="11"/>
      <c r="J23" s="11"/>
    </row>
    <row r="24" customFormat="false" ht="15.75" hidden="false" customHeight="true" outlineLevel="0" collapsed="false">
      <c r="A24" s="11"/>
      <c r="B24" s="59" t="s">
        <v>178</v>
      </c>
      <c r="C24" s="11"/>
      <c r="D24" s="65" t="n">
        <f aca="false">IFERROR(VLOOKUP(D1,'PAY Payroll'!$A:$AC,18,0),0)</f>
        <v>0</v>
      </c>
      <c r="E24" s="67" t="s">
        <v>179</v>
      </c>
      <c r="F24" s="11"/>
      <c r="G24" s="11"/>
      <c r="H24" s="68" t="n">
        <f aca="false">IFERROR(VLOOKUP(D1,'PAY Payroll'!$A:$AC,28,0),0)</f>
        <v>0</v>
      </c>
      <c r="I24" s="11"/>
      <c r="J24" s="11"/>
    </row>
    <row r="25" customFormat="false" ht="15.75" hidden="false" customHeight="true" outlineLevel="0" collapsed="false">
      <c r="A25" s="11"/>
      <c r="B25" s="59" t="s">
        <v>132</v>
      </c>
      <c r="C25" s="11"/>
      <c r="D25" s="65" t="n">
        <f aca="false">IFERROR(VLOOKUP(D1,'PAY Payroll'!$A:$AC,19,0),0)</f>
        <v>0</v>
      </c>
      <c r="E25" s="62"/>
      <c r="F25" s="11"/>
      <c r="G25" s="11"/>
      <c r="H25" s="11"/>
      <c r="I25" s="11"/>
      <c r="J25" s="11"/>
    </row>
    <row r="26" customFormat="false" ht="15.75" hidden="false" customHeight="true" outlineLevel="0" collapsed="false">
      <c r="A26" s="11"/>
      <c r="B26" s="59" t="s">
        <v>133</v>
      </c>
      <c r="C26" s="11"/>
      <c r="D26" s="65" t="n">
        <f aca="false">IFERROR(VLOOKUP(D1,'PAY Payroll'!$A:$AC,20,0),0)</f>
        <v>0</v>
      </c>
      <c r="E26" s="62"/>
      <c r="F26" s="11"/>
      <c r="G26" s="11"/>
      <c r="H26" s="11"/>
      <c r="I26" s="11"/>
      <c r="J26" s="11"/>
    </row>
    <row r="27" customFormat="false" ht="15.75" hidden="false" customHeight="true" outlineLevel="0" collapsed="false">
      <c r="A27" s="11"/>
      <c r="B27" s="69" t="s">
        <v>180</v>
      </c>
      <c r="C27" s="11"/>
      <c r="D27" s="70" t="n">
        <f aca="false">IFERROR(VLOOKUP(D1,'PAY Payroll'!$A:$AC,21,0),0)</f>
        <v>0</v>
      </c>
      <c r="E27" s="62"/>
      <c r="F27" s="11"/>
      <c r="G27" s="11"/>
      <c r="H27" s="11"/>
      <c r="I27" s="11"/>
      <c r="J27" s="11"/>
    </row>
    <row r="28" customFormat="false" ht="15.7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customFormat="false" ht="19.5" hidden="false" customHeight="true" outlineLevel="0" collapsed="false">
      <c r="A29" s="11"/>
      <c r="B29" s="71" t="s">
        <v>116</v>
      </c>
      <c r="C29" s="71"/>
      <c r="D29" s="71"/>
      <c r="E29" s="72" t="n">
        <f aca="false">IFERROR(VLOOKUP(D1,'PAY Payroll'!$A:$AC,29,0),0)</f>
        <v>0</v>
      </c>
      <c r="F29" s="72"/>
      <c r="G29" s="72"/>
      <c r="H29" s="72"/>
      <c r="I29" s="11"/>
      <c r="J29" s="11"/>
    </row>
    <row r="30" customFormat="false" ht="19.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1" customFormat="false" ht="19.5" hidden="false" customHeight="true" outlineLevel="0" collapsed="false">
      <c r="A31" s="11"/>
      <c r="B31" s="73" t="s">
        <v>181</v>
      </c>
      <c r="C31" s="73"/>
      <c r="D31" s="73"/>
      <c r="E31" s="73"/>
      <c r="F31" s="73"/>
      <c r="G31" s="73"/>
      <c r="H31" s="73"/>
      <c r="I31" s="11"/>
      <c r="J31" s="11"/>
    </row>
    <row r="32" customFormat="false" ht="15.75" hidden="false" customHeight="true" outlineLevel="0" collapsed="false">
      <c r="A32" s="11"/>
      <c r="B32" s="59" t="s">
        <v>143</v>
      </c>
      <c r="C32" s="11"/>
      <c r="D32" s="60" t="n">
        <f aca="false">IFERROR(VLOOKUP(D1,'PAY Payroll'!$A:$AE,30,0),0)</f>
        <v>0</v>
      </c>
      <c r="E32" s="11"/>
      <c r="F32" s="11"/>
      <c r="G32" s="11"/>
      <c r="H32" s="11"/>
      <c r="I32" s="11"/>
      <c r="J32" s="11"/>
    </row>
    <row r="33" customFormat="false" ht="18" hidden="false" customHeight="true" outlineLevel="0" collapsed="false">
      <c r="A33" s="11"/>
      <c r="B33" s="59" t="s">
        <v>182</v>
      </c>
      <c r="C33" s="11"/>
      <c r="D33" s="60" t="n">
        <f aca="false">IFERROR(VLOOKUP(D1,'PAY Payroll'!$A:$AE,31,0),0)</f>
        <v>0</v>
      </c>
      <c r="E33" s="11"/>
      <c r="F33" s="11"/>
      <c r="G33" s="11"/>
      <c r="H33" s="11"/>
      <c r="I33" s="11"/>
      <c r="J33" s="11"/>
    </row>
    <row r="34" customFormat="false" ht="15.75" hidden="false" customHeight="true" outlineLevel="0" collapsed="false">
      <c r="A34" s="11"/>
      <c r="B34" s="11"/>
      <c r="C34" s="11"/>
      <c r="D34" s="11"/>
      <c r="E34" s="62"/>
      <c r="F34" s="11"/>
      <c r="G34" s="11"/>
      <c r="H34" s="11"/>
      <c r="I34" s="11"/>
      <c r="J34" s="11"/>
    </row>
    <row r="35" customFormat="false" ht="15.75" hidden="false" customHeight="true" outlineLevel="0" collapsed="false">
      <c r="A35" s="11"/>
      <c r="B35" s="74" t="s">
        <v>183</v>
      </c>
      <c r="C35" s="74"/>
      <c r="D35" s="74"/>
      <c r="E35" s="74"/>
      <c r="F35" s="74"/>
      <c r="G35" s="74"/>
      <c r="H35" s="74"/>
      <c r="I35" s="11"/>
      <c r="J35" s="11"/>
    </row>
    <row r="36" customFormat="false" ht="15.75" hidden="false" customHeight="true" outlineLevel="0" collapsed="false">
      <c r="A36" s="11"/>
      <c r="B36" s="59" t="s">
        <v>119</v>
      </c>
      <c r="C36" s="11"/>
      <c r="D36" s="10" t="n">
        <f aca="false">IFERROR(VLOOKUP(D1,'PAY Payroll'!$A:$AC,5,0),0)</f>
        <v>0</v>
      </c>
      <c r="E36" s="11"/>
      <c r="F36" s="11"/>
      <c r="G36" s="11"/>
      <c r="H36" s="11"/>
      <c r="I36" s="11"/>
      <c r="J36" s="11"/>
    </row>
    <row r="37" customFormat="false" ht="3" hidden="false" customHeight="true" outlineLevel="0" collapsed="false">
      <c r="A37" s="11"/>
      <c r="B37" s="59" t="s">
        <v>56</v>
      </c>
      <c r="C37" s="11"/>
      <c r="D37" s="10" t="n">
        <f aca="false">IFERROR(VLOOKUP(D1,'PAY Payroll'!$A:$AC,6,0),0)</f>
        <v>0</v>
      </c>
      <c r="E37" s="11"/>
      <c r="F37" s="11"/>
      <c r="G37" s="11"/>
      <c r="H37" s="11"/>
      <c r="I37" s="11"/>
      <c r="J37" s="11"/>
    </row>
    <row r="38" customFormat="false" ht="15.75" hidden="false" customHeight="true" outlineLevel="0" collapsed="false">
      <c r="A38" s="11"/>
      <c r="B38" s="59" t="s">
        <v>184</v>
      </c>
      <c r="C38" s="11"/>
      <c r="D38" s="10" t="n">
        <f aca="false">IFERROR(VLOOKUP(D1,'PAY Payroll'!$A:$AC,7,0),0)</f>
        <v>0</v>
      </c>
      <c r="E38" s="11"/>
      <c r="F38" s="11"/>
      <c r="G38" s="11"/>
      <c r="H38" s="11"/>
      <c r="I38" s="11"/>
      <c r="J38" s="11"/>
    </row>
    <row r="39" customFormat="false" ht="15.75" hidden="false" customHeight="true" outlineLevel="0" collapsed="false">
      <c r="A39" s="11"/>
      <c r="B39" s="59" t="s">
        <v>185</v>
      </c>
      <c r="C39" s="11"/>
      <c r="D39" s="10" t="n">
        <f aca="false">IFERROR(VLOOKUP(D1,'PAY Payroll'!$A:$AC,8,0),0)</f>
        <v>0</v>
      </c>
      <c r="E39" s="11"/>
      <c r="F39" s="11"/>
      <c r="G39" s="11"/>
      <c r="H39" s="11"/>
      <c r="I39" s="11"/>
      <c r="J39" s="11"/>
    </row>
    <row r="40" customFormat="false" ht="15.75" hidden="false" customHeight="true" outlineLevel="0" collapsed="false">
      <c r="A40" s="11"/>
      <c r="B40" s="59" t="s">
        <v>186</v>
      </c>
      <c r="C40" s="11"/>
      <c r="D40" s="10" t="n">
        <f aca="false">IFERROR(VLOOKUP(D1,'PAY Payroll'!$A:$AC,9,0),0)</f>
        <v>0</v>
      </c>
      <c r="E40" s="11"/>
      <c r="F40" s="11"/>
      <c r="G40" s="11"/>
      <c r="H40" s="11"/>
      <c r="I40" s="11"/>
      <c r="J40" s="11"/>
    </row>
    <row r="41" customFormat="false" ht="15.75" hidden="false" customHeight="true" outlineLevel="0" collapsed="false">
      <c r="A41" s="11"/>
      <c r="B41" s="59" t="s">
        <v>187</v>
      </c>
      <c r="C41" s="11"/>
      <c r="D41" s="10" t="n">
        <f aca="false">IFERROR(VLOOKUP(D1,'PAY Payroll'!$A:$AC,10,0),0)</f>
        <v>0</v>
      </c>
      <c r="E41" s="11"/>
      <c r="F41" s="11"/>
      <c r="G41" s="11"/>
      <c r="H41" s="11"/>
      <c r="I41" s="11"/>
      <c r="J41" s="11"/>
    </row>
    <row r="42" customFormat="false" ht="15.75" hidden="false" customHeight="true" outlineLevel="0" collapsed="false">
      <c r="A42" s="11"/>
      <c r="B42" s="59" t="s">
        <v>124</v>
      </c>
      <c r="C42" s="11"/>
      <c r="D42" s="10" t="n">
        <f aca="false">IFERROR(VLOOKUP(D1,'PAY Payroll'!$A:$AC,11,0),0)</f>
        <v>0</v>
      </c>
      <c r="E42" s="11"/>
      <c r="F42" s="11"/>
      <c r="G42" s="11"/>
      <c r="H42" s="11"/>
      <c r="I42" s="11"/>
      <c r="J42" s="11"/>
    </row>
    <row r="43" customFormat="false" ht="15.75" hidden="false" customHeight="tru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customFormat="false" ht="15.75" hidden="false" customHeight="true" outlineLevel="0" collapsed="false">
      <c r="A44" s="11"/>
      <c r="B44" s="75" t="s">
        <v>188</v>
      </c>
      <c r="C44" s="75"/>
      <c r="D44" s="75"/>
      <c r="E44" s="75"/>
      <c r="F44" s="75"/>
      <c r="G44" s="75"/>
      <c r="H44" s="75"/>
      <c r="I44" s="11"/>
      <c r="J44" s="11"/>
    </row>
    <row r="45" customFormat="false" ht="15.75" hidden="false" customHeight="true" outlineLevel="0" collapsed="false">
      <c r="A45" s="11"/>
      <c r="B45" s="76" t="str">
        <f aca="true">TEXT(NOW(),"Generated on: DD MMM YYYY HH:MM")</f>
        <v>CE786n7865786at7863 on: 03 Tammuz 2026 14:01</v>
      </c>
      <c r="C45" s="76"/>
      <c r="D45" s="76"/>
      <c r="E45" s="76"/>
      <c r="F45" s="76"/>
      <c r="G45" s="76"/>
      <c r="H45" s="76"/>
      <c r="I45" s="11"/>
      <c r="J45" s="11"/>
    </row>
    <row r="46" customFormat="false" ht="15.75" hidden="false" customHeight="tru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 customFormat="false" ht="15.75" hidden="false" customHeight="tru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</row>
    <row r="48" customFormat="false" ht="15.75" hidden="false" customHeight="tru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customFormat="false" ht="15.75" hidden="false" customHeight="true" outlineLevel="0" collapsed="false">
      <c r="A49" s="11"/>
      <c r="B49" s="11"/>
      <c r="C49" s="11"/>
      <c r="D49" s="11"/>
      <c r="E49" s="11"/>
      <c r="F49" s="11"/>
      <c r="G49" s="11"/>
      <c r="H49" s="11"/>
      <c r="I49" s="11"/>
      <c r="J49" s="11"/>
    </row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</sheetData>
  <sheetProtection sheet="true" password="dd98" formatColumns="false" formatRows="false" sort="false" autoFilter="false"/>
  <mergeCells count="15">
    <mergeCell ref="B1:C1"/>
    <mergeCell ref="B2:H2"/>
    <mergeCell ref="B3:H3"/>
    <mergeCell ref="B4:H4"/>
    <mergeCell ref="B6:H6"/>
    <mergeCell ref="B7:H7"/>
    <mergeCell ref="B9:H9"/>
    <mergeCell ref="B17:D17"/>
    <mergeCell ref="E17:H17"/>
    <mergeCell ref="B29:D29"/>
    <mergeCell ref="E29:H29"/>
    <mergeCell ref="B31:H31"/>
    <mergeCell ref="B35:H35"/>
    <mergeCell ref="B44:H44"/>
    <mergeCell ref="B45:H45"/>
  </mergeCells>
  <dataValidations count="2">
    <dataValidation allowBlank="true" errorStyle="stop" operator="between" prompt="Select an Employee ID to generate their payslip" promptTitle="Employee ID" showDropDown="false" showErrorMessage="false" showInputMessage="true" sqref="D1" type="list">
      <formula1>'EMP Employees'!$A$3:$A$52</formula1>
      <formula2>0</formula2>
    </dataValidation>
    <dataValidation allowBlank="true" errorStyle="stop" operator="between" showDropDown="false" showErrorMessage="false" showInputMessage="false" sqref="G1" type="list">
      <formula1>"Jan,Feb,Mar,Apr,May,Jun,Jul,Aug,Sep,Oct,Nov,Dec"</formula1>
      <formula2>0</formula2>
    </dataValidation>
  </dataValidations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5" min="4" style="1" width="13"/>
    <col collapsed="false" customWidth="true" hidden="false" outlineLevel="0" max="7" min="6" style="1" width="12"/>
    <col collapsed="false" customWidth="true" hidden="false" outlineLevel="0" max="8" min="8" style="1" width="13"/>
    <col collapsed="false" customWidth="true" hidden="false" outlineLevel="0" max="9" min="9" style="1" width="18"/>
    <col collapsed="false" customWidth="true" hidden="false" outlineLevel="0" max="12" min="10" style="1" width="14"/>
  </cols>
  <sheetData>
    <row r="1" customFormat="false" ht="30" hidden="false" customHeight="true" outlineLevel="0" collapsed="false">
      <c r="A1" s="13" t="s">
        <v>189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customFormat="false" ht="19.5" hidden="false" customHeight="true" outlineLevel="0" collapsed="false">
      <c r="A2" s="77" t="s">
        <v>74</v>
      </c>
      <c r="B2" s="77" t="s">
        <v>75</v>
      </c>
      <c r="C2" s="77" t="s">
        <v>99</v>
      </c>
      <c r="D2" s="77" t="s">
        <v>190</v>
      </c>
      <c r="E2" s="77" t="s">
        <v>191</v>
      </c>
      <c r="F2" s="77" t="s">
        <v>192</v>
      </c>
      <c r="G2" s="77" t="s">
        <v>193</v>
      </c>
      <c r="H2" s="77" t="s">
        <v>194</v>
      </c>
      <c r="I2" s="77" t="s">
        <v>195</v>
      </c>
      <c r="J2" s="77" t="s">
        <v>102</v>
      </c>
      <c r="K2" s="77" t="s">
        <v>196</v>
      </c>
      <c r="L2" s="77" t="s">
        <v>197</v>
      </c>
    </row>
    <row r="3" customFormat="false" ht="15.75" hidden="false" customHeight="true" outlineLevel="0" collapsed="false">
      <c r="A3" s="78"/>
      <c r="B3" s="79" t="str">
        <f aca="false">IFERROR(VLOOKUP(A3,'EMP Employees'!$A:$V,2,0),"")</f>
        <v/>
      </c>
      <c r="C3" s="80" t="str">
        <f aca="false">IFERROR(VLOOKUP(A3,'EMP Employees'!$A:$V,12,0),"")</f>
        <v/>
      </c>
      <c r="D3" s="81" t="n">
        <f aca="true">IFERROR(TODAY()-C3,0)</f>
        <v>0</v>
      </c>
      <c r="E3" s="82" t="n">
        <f aca="false">IFERROR(INT(D3/17),0)</f>
        <v>0</v>
      </c>
      <c r="F3" s="83"/>
      <c r="G3" s="81" t="n">
        <f aca="false">IFERROR(E3-F3,0)</f>
        <v>0</v>
      </c>
      <c r="H3" s="84" t="n">
        <f aca="false">IFERROR(SUMIFS('ABS Absence Log'!D:D,'ABS Absence Log'!A:A,A3,'ABS Absence Log'!C:C,"Sick Leave"),0)</f>
        <v>0</v>
      </c>
      <c r="I3" s="84" t="n">
        <f aca="false">IFERROR(SUMIFS('ABS Absence Log'!D:D,'ABS Absence Log'!A:A,A3,'ABS Absence Log'!C:C,"Maternity Leave")+SUMIFS('ABS Absence Log'!D:D,'ABS Absence Log'!A:A,A3,'ABS Absence Log'!C:C,"Paternity Leave"),0)</f>
        <v>0</v>
      </c>
      <c r="J3" s="85" t="str">
        <f aca="false">IFERROR(VLOOKUP(A3,'EMP Employees'!$A:$V,16,0),"")</f>
        <v/>
      </c>
      <c r="K3" s="85" t="str">
        <f aca="false">IFERROR(VLOOKUP(A3,'EMP Employees'!$A:$V,17,0),"")</f>
        <v/>
      </c>
      <c r="L3" s="85" t="str">
        <f aca="true">IFERROR(IF(AND(K3&lt;&gt;"",K3&lt;TODAY()),G3,"N/A"),"")</f>
        <v>N/A</v>
      </c>
    </row>
    <row r="4" customFormat="false" ht="15.75" hidden="false" customHeight="true" outlineLevel="0" collapsed="false">
      <c r="A4" s="86"/>
      <c r="B4" s="87" t="str">
        <f aca="false">IFERROR(VLOOKUP(A4,'EMP Employees'!$A:$V,2,0),"")</f>
        <v/>
      </c>
      <c r="C4" s="88" t="str">
        <f aca="false">IFERROR(VLOOKUP(A4,'EMP Employees'!$A:$V,12,0),"")</f>
        <v/>
      </c>
      <c r="D4" s="89" t="n">
        <f aca="true">IFERROR(TODAY()-C4,0)</f>
        <v>0</v>
      </c>
      <c r="E4" s="90" t="n">
        <f aca="false">IFERROR(INT(D4/17),0)</f>
        <v>0</v>
      </c>
      <c r="F4" s="83"/>
      <c r="G4" s="89" t="n">
        <f aca="false">IFERROR(E4-F4,0)</f>
        <v>0</v>
      </c>
      <c r="H4" s="91" t="n">
        <f aca="false">IFERROR(SUMIFS('ABS Absence Log'!D:D,'ABS Absence Log'!A:A,A4,'ABS Absence Log'!C:C,"Sick Leave"),0)</f>
        <v>0</v>
      </c>
      <c r="I4" s="91" t="n">
        <f aca="false">IFERROR(SUMIFS('ABS Absence Log'!D:D,'ABS Absence Log'!A:A,A4,'ABS Absence Log'!C:C,"Maternity Leave")+SUMIFS('ABS Absence Log'!D:D,'ABS Absence Log'!A:A,A4,'ABS Absence Log'!C:C,"Paternity Leave"),0)</f>
        <v>0</v>
      </c>
      <c r="J4" s="92" t="str">
        <f aca="false">IFERROR(VLOOKUP(A4,'EMP Employees'!$A:$V,16,0),"")</f>
        <v/>
      </c>
      <c r="K4" s="92" t="str">
        <f aca="false">IFERROR(VLOOKUP(A4,'EMP Employees'!$A:$V,17,0),"")</f>
        <v/>
      </c>
      <c r="L4" s="92" t="str">
        <f aca="true">IFERROR(IF(AND(K4&lt;&gt;"",K4&lt;TODAY()),G4,"N/A"),"")</f>
        <v>N/A</v>
      </c>
    </row>
    <row r="5" customFormat="false" ht="15.75" hidden="false" customHeight="true" outlineLevel="0" collapsed="false">
      <c r="A5" s="78"/>
      <c r="B5" s="79" t="str">
        <f aca="false">IFERROR(VLOOKUP(A5,'EMP Employees'!$A:$V,2,0),"")</f>
        <v/>
      </c>
      <c r="C5" s="80" t="str">
        <f aca="false">IFERROR(VLOOKUP(A5,'EMP Employees'!$A:$V,12,0),"")</f>
        <v/>
      </c>
      <c r="D5" s="81" t="n">
        <f aca="true">IFERROR(TODAY()-C5,0)</f>
        <v>0</v>
      </c>
      <c r="E5" s="82" t="n">
        <f aca="false">IFERROR(INT(D5/17),0)</f>
        <v>0</v>
      </c>
      <c r="F5" s="83"/>
      <c r="G5" s="81" t="n">
        <f aca="false">IFERROR(E5-F5,0)</f>
        <v>0</v>
      </c>
      <c r="H5" s="84" t="n">
        <f aca="false">IFERROR(SUMIFS('ABS Absence Log'!D:D,'ABS Absence Log'!A:A,A5,'ABS Absence Log'!C:C,"Sick Leave"),0)</f>
        <v>0</v>
      </c>
      <c r="I5" s="84" t="n">
        <f aca="false">IFERROR(SUMIFS('ABS Absence Log'!D:D,'ABS Absence Log'!A:A,A5,'ABS Absence Log'!C:C,"Maternity Leave")+SUMIFS('ABS Absence Log'!D:D,'ABS Absence Log'!A:A,A5,'ABS Absence Log'!C:C,"Paternity Leave"),0)</f>
        <v>0</v>
      </c>
      <c r="J5" s="85" t="str">
        <f aca="false">IFERROR(VLOOKUP(A5,'EMP Employees'!$A:$V,16,0),"")</f>
        <v/>
      </c>
      <c r="K5" s="85" t="str">
        <f aca="false">IFERROR(VLOOKUP(A5,'EMP Employees'!$A:$V,17,0),"")</f>
        <v/>
      </c>
      <c r="L5" s="85" t="str">
        <f aca="true">IFERROR(IF(AND(K5&lt;&gt;"",K5&lt;TODAY()),G5,"N/A"),"")</f>
        <v>N/A</v>
      </c>
    </row>
    <row r="6" customFormat="false" ht="15.75" hidden="false" customHeight="true" outlineLevel="0" collapsed="false">
      <c r="A6" s="86"/>
      <c r="B6" s="87" t="str">
        <f aca="false">IFERROR(VLOOKUP(A6,'EMP Employees'!$A:$V,2,0),"")</f>
        <v/>
      </c>
      <c r="C6" s="88" t="str">
        <f aca="false">IFERROR(VLOOKUP(A6,'EMP Employees'!$A:$V,12,0),"")</f>
        <v/>
      </c>
      <c r="D6" s="89" t="n">
        <f aca="true">IFERROR(TODAY()-C6,0)</f>
        <v>0</v>
      </c>
      <c r="E6" s="90" t="n">
        <f aca="false">IFERROR(INT(D6/17),0)</f>
        <v>0</v>
      </c>
      <c r="F6" s="83"/>
      <c r="G6" s="89" t="n">
        <f aca="false">IFERROR(E6-F6,0)</f>
        <v>0</v>
      </c>
      <c r="H6" s="91" t="n">
        <f aca="false">IFERROR(SUMIFS('ABS Absence Log'!D:D,'ABS Absence Log'!A:A,A6,'ABS Absence Log'!C:C,"Sick Leave"),0)</f>
        <v>0</v>
      </c>
      <c r="I6" s="91" t="n">
        <f aca="false">IFERROR(SUMIFS('ABS Absence Log'!D:D,'ABS Absence Log'!A:A,A6,'ABS Absence Log'!C:C,"Maternity Leave")+SUMIFS('ABS Absence Log'!D:D,'ABS Absence Log'!A:A,A6,'ABS Absence Log'!C:C,"Paternity Leave"),0)</f>
        <v>0</v>
      </c>
      <c r="J6" s="92" t="str">
        <f aca="false">IFERROR(VLOOKUP(A6,'EMP Employees'!$A:$V,16,0),"")</f>
        <v/>
      </c>
      <c r="K6" s="92" t="str">
        <f aca="false">IFERROR(VLOOKUP(A6,'EMP Employees'!$A:$V,17,0),"")</f>
        <v/>
      </c>
      <c r="L6" s="92" t="str">
        <f aca="true">IFERROR(IF(AND(K6&lt;&gt;"",K6&lt;TODAY()),G6,"N/A"),"")</f>
        <v>N/A</v>
      </c>
    </row>
    <row r="7" customFormat="false" ht="15.75" hidden="false" customHeight="true" outlineLevel="0" collapsed="false">
      <c r="A7" s="78"/>
      <c r="B7" s="79" t="str">
        <f aca="false">IFERROR(VLOOKUP(A7,'EMP Employees'!$A:$V,2,0),"")</f>
        <v/>
      </c>
      <c r="C7" s="80" t="str">
        <f aca="false">IFERROR(VLOOKUP(A7,'EMP Employees'!$A:$V,12,0),"")</f>
        <v/>
      </c>
      <c r="D7" s="81" t="n">
        <f aca="true">IFERROR(TODAY()-C7,0)</f>
        <v>0</v>
      </c>
      <c r="E7" s="82" t="n">
        <f aca="false">IFERROR(INT(D7/17),0)</f>
        <v>0</v>
      </c>
      <c r="F7" s="83"/>
      <c r="G7" s="81" t="n">
        <f aca="false">IFERROR(E7-F7,0)</f>
        <v>0</v>
      </c>
      <c r="H7" s="84" t="n">
        <f aca="false">IFERROR(SUMIFS('ABS Absence Log'!D:D,'ABS Absence Log'!A:A,A7,'ABS Absence Log'!C:C,"Sick Leave"),0)</f>
        <v>0</v>
      </c>
      <c r="I7" s="84" t="n">
        <f aca="false">IFERROR(SUMIFS('ABS Absence Log'!D:D,'ABS Absence Log'!A:A,A7,'ABS Absence Log'!C:C,"Maternity Leave")+SUMIFS('ABS Absence Log'!D:D,'ABS Absence Log'!A:A,A7,'ABS Absence Log'!C:C,"Paternity Leave"),0)</f>
        <v>0</v>
      </c>
      <c r="J7" s="85" t="str">
        <f aca="false">IFERROR(VLOOKUP(A7,'EMP Employees'!$A:$V,16,0),"")</f>
        <v/>
      </c>
      <c r="K7" s="85" t="str">
        <f aca="false">IFERROR(VLOOKUP(A7,'EMP Employees'!$A:$V,17,0),"")</f>
        <v/>
      </c>
      <c r="L7" s="85" t="str">
        <f aca="true">IFERROR(IF(AND(K7&lt;&gt;"",K7&lt;TODAY()),G7,"N/A"),"")</f>
        <v>N/A</v>
      </c>
    </row>
    <row r="8" customFormat="false" ht="15.75" hidden="false" customHeight="true" outlineLevel="0" collapsed="false">
      <c r="A8" s="86"/>
      <c r="B8" s="87" t="str">
        <f aca="false">IFERROR(VLOOKUP(A8,'EMP Employees'!$A:$V,2,0),"")</f>
        <v/>
      </c>
      <c r="C8" s="88" t="str">
        <f aca="false">IFERROR(VLOOKUP(A8,'EMP Employees'!$A:$V,12,0),"")</f>
        <v/>
      </c>
      <c r="D8" s="89" t="n">
        <f aca="true">IFERROR(TODAY()-C8,0)</f>
        <v>0</v>
      </c>
      <c r="E8" s="90" t="n">
        <f aca="true">IFERROR(IF(AND(K8&lt;&gt;"",K8&lt;TODAY()),INT((K8-C8)/17),INT(D8/17)),0)</f>
        <v>0</v>
      </c>
      <c r="F8" s="83"/>
      <c r="G8" s="89" t="n">
        <f aca="false">IFERROR(E8-F8,0)</f>
        <v>0</v>
      </c>
      <c r="H8" s="91" t="n">
        <f aca="false">IFERROR(SUMIFS('ABS Absence Log'!D:D,'ABS Absence Log'!A:A,A8,'ABS Absence Log'!C:C,"Sick Leave"),0)</f>
        <v>0</v>
      </c>
      <c r="I8" s="91" t="n">
        <f aca="false">IFERROR(SUMIFS('ABS Absence Log'!D:D,'ABS Absence Log'!A:A,A8,'ABS Absence Log'!C:C,"Maternity Leave")+SUMIFS('ABS Absence Log'!D:D,'ABS Absence Log'!A:A,A8,'ABS Absence Log'!C:C,"Paternity Leave"),0)</f>
        <v>0</v>
      </c>
      <c r="J8" s="92" t="str">
        <f aca="false">IFERROR(VLOOKUP(A8,'EMP Employees'!$A:$V,16,0),"")</f>
        <v/>
      </c>
      <c r="K8" s="93" t="str">
        <f aca="false">IFERROR(VLOOKUP(A8,'EMP Employees'!$A:$V,17,0),"")</f>
        <v/>
      </c>
      <c r="L8" s="89" t="str">
        <f aca="true">IFERROR(IF(AND(K8&lt;&gt;"",K8&lt;TODAY()),G8,"N/A"),"")</f>
        <v>N/A</v>
      </c>
    </row>
    <row r="9" customFormat="false" ht="15.75" hidden="false" customHeight="true" outlineLevel="0" collapsed="false">
      <c r="A9" s="78"/>
      <c r="B9" s="79" t="str">
        <f aca="false">IFERROR(VLOOKUP(A9,'EMP Employees'!$A:$V,2,0),"")</f>
        <v/>
      </c>
      <c r="C9" s="80" t="str">
        <f aca="false">IFERROR(VLOOKUP(A9,'EMP Employees'!$A:$V,12,0),"")</f>
        <v/>
      </c>
      <c r="D9" s="81" t="n">
        <f aca="true">IFERROR(TODAY()-C9,0)</f>
        <v>0</v>
      </c>
      <c r="E9" s="82" t="n">
        <f aca="false">IFERROR(INT(D9/17),0)</f>
        <v>0</v>
      </c>
      <c r="F9" s="83"/>
      <c r="G9" s="81" t="n">
        <f aca="false">IFERROR(E9-F9,0)</f>
        <v>0</v>
      </c>
      <c r="H9" s="84" t="n">
        <f aca="false">IFERROR(SUMIFS('ABS Absence Log'!D:D,'ABS Absence Log'!A:A,A9,'ABS Absence Log'!C:C,"Sick Leave"),0)</f>
        <v>0</v>
      </c>
      <c r="I9" s="84" t="n">
        <f aca="false">IFERROR(SUMIFS('ABS Absence Log'!D:D,'ABS Absence Log'!A:A,A9,'ABS Absence Log'!C:C,"Maternity Leave")+SUMIFS('ABS Absence Log'!D:D,'ABS Absence Log'!A:A,A9,'ABS Absence Log'!C:C,"Paternity Leave"),0)</f>
        <v>0</v>
      </c>
      <c r="J9" s="85" t="str">
        <f aca="false">IFERROR(VLOOKUP(A9,'EMP Employees'!$A:$V,16,0),"")</f>
        <v/>
      </c>
      <c r="K9" s="85" t="str">
        <f aca="false">IFERROR(VLOOKUP(A9,'EMP Employees'!$A:$V,17,0),"")</f>
        <v/>
      </c>
      <c r="L9" s="85" t="str">
        <f aca="true">IFERROR(IF(AND(K9&lt;&gt;"",K9&lt;TODAY()),G9,"N/A"),"")</f>
        <v>N/A</v>
      </c>
    </row>
    <row r="10" customFormat="false" ht="15.75" hidden="false" customHeight="true" outlineLevel="0" collapsed="false">
      <c r="A10" s="86"/>
      <c r="B10" s="87" t="str">
        <f aca="false">IFERROR(VLOOKUP(A10,'EMP Employees'!$A:$V,2,0),"")</f>
        <v/>
      </c>
      <c r="C10" s="88" t="str">
        <f aca="false">IFERROR(VLOOKUP(A10,'EMP Employees'!$A:$V,12,0),"")</f>
        <v/>
      </c>
      <c r="D10" s="89" t="n">
        <f aca="true">IFERROR(TODAY()-C10,0)</f>
        <v>0</v>
      </c>
      <c r="E10" s="90" t="n">
        <f aca="false">IFERROR(INT(D10/17),0)</f>
        <v>0</v>
      </c>
      <c r="F10" s="83"/>
      <c r="G10" s="89" t="n">
        <f aca="false">IFERROR(E10-F10,0)</f>
        <v>0</v>
      </c>
      <c r="H10" s="91" t="n">
        <f aca="false">IFERROR(SUMIFS('ABS Absence Log'!D:D,'ABS Absence Log'!A:A,A10,'ABS Absence Log'!C:C,"Sick Leave"),0)</f>
        <v>0</v>
      </c>
      <c r="I10" s="91" t="n">
        <f aca="false">IFERROR(SUMIFS('ABS Absence Log'!D:D,'ABS Absence Log'!A:A,A10,'ABS Absence Log'!C:C,"Maternity Leave")+SUMIFS('ABS Absence Log'!D:D,'ABS Absence Log'!A:A,A10,'ABS Absence Log'!C:C,"Paternity Leave"),0)</f>
        <v>0</v>
      </c>
      <c r="J10" s="92" t="str">
        <f aca="false">IFERROR(VLOOKUP(A10,'EMP Employees'!$A:$V,16,0),"")</f>
        <v/>
      </c>
      <c r="K10" s="92" t="str">
        <f aca="false">IFERROR(VLOOKUP(A10,'EMP Employees'!$A:$V,17,0),"")</f>
        <v/>
      </c>
      <c r="L10" s="92" t="str">
        <f aca="true">IFERROR(IF(AND(K10&lt;&gt;"",K10&lt;TODAY()),G10,"N/A"),"")</f>
        <v>N/A</v>
      </c>
    </row>
    <row r="11" customFormat="false" ht="15.75" hidden="false" customHeight="true" outlineLevel="0" collapsed="false">
      <c r="A11" s="78"/>
      <c r="B11" s="79" t="str">
        <f aca="false">IFERROR(VLOOKUP(A11,'EMP Employees'!$A:$V,2,0),"")</f>
        <v/>
      </c>
      <c r="C11" s="80" t="str">
        <f aca="false">IFERROR(VLOOKUP(A11,'EMP Employees'!$A:$V,12,0),"")</f>
        <v/>
      </c>
      <c r="D11" s="81" t="n">
        <f aca="true">IFERROR(TODAY()-C11,0)</f>
        <v>0</v>
      </c>
      <c r="E11" s="82" t="n">
        <f aca="true">IFERROR(IF(AND(K11&lt;&gt;"",K11&lt;TODAY()),INT((K11-C11)/17),INT(D11/17)),0)</f>
        <v>0</v>
      </c>
      <c r="F11" s="83"/>
      <c r="G11" s="81" t="n">
        <f aca="false">IFERROR(E11-F11,0)</f>
        <v>0</v>
      </c>
      <c r="H11" s="84" t="n">
        <f aca="false">IFERROR(SUMIFS('ABS Absence Log'!D:D,'ABS Absence Log'!A:A,A11,'ABS Absence Log'!C:C,"Sick Leave"),0)</f>
        <v>0</v>
      </c>
      <c r="I11" s="84" t="n">
        <f aca="false">IFERROR(SUMIFS('ABS Absence Log'!D:D,'ABS Absence Log'!A:A,A11,'ABS Absence Log'!C:C,"Maternity Leave")+SUMIFS('ABS Absence Log'!D:D,'ABS Absence Log'!A:A,A11,'ABS Absence Log'!C:C,"Paternity Leave"),0)</f>
        <v>0</v>
      </c>
      <c r="J11" s="85" t="str">
        <f aca="false">IFERROR(VLOOKUP(A11,'EMP Employees'!$A:$V,16,0),"")</f>
        <v/>
      </c>
      <c r="K11" s="94" t="str">
        <f aca="false">IFERROR(VLOOKUP(A11,'EMP Employees'!$A:$V,17,0),"")</f>
        <v/>
      </c>
      <c r="L11" s="81" t="str">
        <f aca="true">IFERROR(IF(AND(K11&lt;&gt;"",K11&lt;TODAY()),G11,"N/A"),"")</f>
        <v>N/A</v>
      </c>
    </row>
    <row r="12" customFormat="false" ht="15.75" hidden="false" customHeight="true" outlineLevel="0" collapsed="false">
      <c r="A12" s="86"/>
      <c r="B12" s="87" t="str">
        <f aca="false">IFERROR(VLOOKUP(A12,'EMP Employees'!$A:$V,2,0),"")</f>
        <v/>
      </c>
      <c r="C12" s="88" t="str">
        <f aca="false">IFERROR(VLOOKUP(A12,'EMP Employees'!$A:$V,12,0),"")</f>
        <v/>
      </c>
      <c r="D12" s="89" t="n">
        <f aca="true">IFERROR(TODAY()-C12,0)</f>
        <v>0</v>
      </c>
      <c r="E12" s="90" t="n">
        <f aca="false">IFERROR(INT(D12/17),0)</f>
        <v>0</v>
      </c>
      <c r="F12" s="83"/>
      <c r="G12" s="89" t="n">
        <f aca="false">IFERROR(E12-F12,0)</f>
        <v>0</v>
      </c>
      <c r="H12" s="91" t="n">
        <f aca="false">IFERROR(SUMIFS('ABS Absence Log'!D:D,'ABS Absence Log'!A:A,A12,'ABS Absence Log'!C:C,"Sick Leave"),0)</f>
        <v>0</v>
      </c>
      <c r="I12" s="91" t="n">
        <f aca="false">IFERROR(SUMIFS('ABS Absence Log'!D:D,'ABS Absence Log'!A:A,A12,'ABS Absence Log'!C:C,"Maternity Leave")+SUMIFS('ABS Absence Log'!D:D,'ABS Absence Log'!A:A,A12,'ABS Absence Log'!C:C,"Paternity Leave"),0)</f>
        <v>0</v>
      </c>
      <c r="J12" s="92" t="str">
        <f aca="false">IFERROR(VLOOKUP(A12,'EMP Employees'!$A:$V,16,0),"")</f>
        <v/>
      </c>
      <c r="K12" s="92" t="str">
        <f aca="false">IFERROR(VLOOKUP(A12,'EMP Employees'!$A:$V,17,0),"")</f>
        <v/>
      </c>
      <c r="L12" s="92" t="str">
        <f aca="true">IFERROR(IF(AND(K12&lt;&gt;"",K12&lt;TODAY()),G12,"N/A"),"")</f>
        <v>N/A</v>
      </c>
    </row>
    <row r="13" customFormat="false" ht="15" hidden="false" customHeight="true" outlineLevel="0" collapsed="false">
      <c r="A13" s="95"/>
      <c r="B13" s="1" t="str">
        <f aca="false">IFERROR(VLOOKUP(A13,'EMP Employees'!$A:$V,2,0),"")</f>
        <v/>
      </c>
      <c r="C13" s="1" t="str">
        <f aca="false">IFERROR(VLOOKUP(A13,'EMP Employees'!$A:$V,12,0),"")</f>
        <v/>
      </c>
      <c r="F13" s="95"/>
      <c r="H13" s="95"/>
      <c r="I13" s="95"/>
      <c r="J13" s="1" t="str">
        <f aca="false">IFERROR(VLOOKUP(A13,'EMP Employees'!$A:$V,16,0),"")</f>
        <v/>
      </c>
      <c r="K13" s="1" t="str">
        <f aca="false">IFERROR(VLOOKUP(A13,'EMP Employees'!$A:$V,17,0),"")</f>
        <v/>
      </c>
    </row>
    <row r="14" customFormat="false" ht="15.75" hidden="false" customHeight="true" outlineLevel="0" collapsed="false">
      <c r="A14" s="96" t="s">
        <v>198</v>
      </c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</row>
  </sheetData>
  <sheetProtection sheet="true" password="dd98" formatColumns="false" formatRows="false" sort="false" autoFilter="false"/>
  <mergeCells count="2">
    <mergeCell ref="A1:K1"/>
    <mergeCell ref="A14:L14"/>
  </mergeCells>
  <conditionalFormatting sqref="G3:G52">
    <cfRule type="cellIs" priority="2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8"/>
    <col collapsed="false" customWidth="true" hidden="false" outlineLevel="0" max="6" min="5" style="1" width="14"/>
    <col collapsed="false" customWidth="true" hidden="false" outlineLevel="0" max="7" min="7" style="1" width="18"/>
    <col collapsed="false" customWidth="true" hidden="false" outlineLevel="0" max="8" min="8" style="1" width="30"/>
  </cols>
  <sheetData>
    <row r="1" customFormat="false" ht="30" hidden="false" customHeight="true" outlineLevel="0" collapsed="false">
      <c r="A1" s="13" t="s">
        <v>199</v>
      </c>
      <c r="B1" s="13"/>
      <c r="C1" s="13"/>
      <c r="D1" s="13"/>
      <c r="E1" s="13"/>
      <c r="F1" s="13"/>
      <c r="G1" s="13"/>
      <c r="H1" s="13"/>
    </row>
    <row r="2" customFormat="false" ht="19.5" hidden="false" customHeight="true" outlineLevel="0" collapsed="false">
      <c r="A2" s="77" t="s">
        <v>74</v>
      </c>
      <c r="B2" s="77" t="s">
        <v>200</v>
      </c>
      <c r="C2" s="77" t="s">
        <v>201</v>
      </c>
      <c r="D2" s="77" t="s">
        <v>202</v>
      </c>
      <c r="E2" s="77" t="s">
        <v>203</v>
      </c>
      <c r="F2" s="77" t="s">
        <v>204</v>
      </c>
      <c r="G2" s="77" t="s">
        <v>205</v>
      </c>
      <c r="H2" s="77" t="s">
        <v>206</v>
      </c>
    </row>
    <row r="3" customFormat="false" ht="15.75" hidden="false" customHeight="true" outlineLevel="0" collapsed="false">
      <c r="A3" s="97"/>
      <c r="B3" s="97"/>
      <c r="C3" s="97"/>
      <c r="D3" s="97"/>
      <c r="E3" s="98"/>
      <c r="F3" s="98"/>
      <c r="G3" s="97"/>
      <c r="H3" s="97"/>
    </row>
    <row r="4" customFormat="false" ht="15.75" hidden="false" customHeight="true" outlineLevel="0" collapsed="false">
      <c r="A4" s="97"/>
      <c r="B4" s="97"/>
      <c r="C4" s="97"/>
      <c r="D4" s="97"/>
      <c r="E4" s="98"/>
      <c r="F4" s="98"/>
      <c r="G4" s="97"/>
      <c r="H4" s="97"/>
    </row>
    <row r="5" customFormat="false" ht="15.75" hidden="false" customHeight="true" outlineLevel="0" collapsed="false">
      <c r="A5" s="97"/>
      <c r="B5" s="97"/>
      <c r="C5" s="97"/>
      <c r="D5" s="97"/>
      <c r="E5" s="98"/>
      <c r="F5" s="98"/>
      <c r="G5" s="97"/>
      <c r="H5" s="97"/>
    </row>
    <row r="6" customFormat="false" ht="15.75" hidden="false" customHeight="true" outlineLevel="0" collapsed="false">
      <c r="A6" s="97"/>
      <c r="B6" s="97"/>
      <c r="C6" s="97"/>
      <c r="D6" s="97"/>
      <c r="E6" s="98"/>
      <c r="F6" s="98"/>
      <c r="G6" s="97"/>
      <c r="H6" s="97"/>
    </row>
    <row r="7" customFormat="false" ht="15.75" hidden="false" customHeight="true" outlineLevel="0" collapsed="false">
      <c r="A7" s="97"/>
      <c r="B7" s="97"/>
      <c r="C7" s="97"/>
      <c r="D7" s="97"/>
      <c r="E7" s="98"/>
      <c r="F7" s="98"/>
      <c r="G7" s="97"/>
      <c r="H7" s="97"/>
    </row>
    <row r="8" customFormat="false" ht="15.75" hidden="false" customHeight="true" outlineLevel="0" collapsed="false">
      <c r="A8" s="97"/>
      <c r="B8" s="97"/>
      <c r="C8" s="97"/>
      <c r="D8" s="97"/>
      <c r="E8" s="98"/>
      <c r="F8" s="98"/>
      <c r="G8" s="97"/>
      <c r="H8" s="97"/>
    </row>
    <row r="9" customFormat="false" ht="15.75" hidden="false" customHeight="true" outlineLevel="0" collapsed="false">
      <c r="A9" s="97"/>
      <c r="B9" s="97"/>
      <c r="C9" s="97"/>
      <c r="D9" s="97"/>
      <c r="E9" s="98"/>
      <c r="F9" s="98"/>
      <c r="G9" s="97"/>
      <c r="H9" s="97"/>
    </row>
    <row r="10" customFormat="false" ht="15.75" hidden="false" customHeight="true" outlineLevel="0" collapsed="false">
      <c r="A10" s="97"/>
      <c r="B10" s="97"/>
      <c r="C10" s="97"/>
      <c r="D10" s="97"/>
      <c r="E10" s="98"/>
      <c r="F10" s="98"/>
      <c r="G10" s="97"/>
      <c r="H10" s="97"/>
    </row>
    <row r="11" customFormat="false" ht="15" hidden="false" customHeight="true" outlineLevel="0" collapsed="false">
      <c r="A11" s="95"/>
      <c r="B11" s="95"/>
      <c r="C11" s="95"/>
      <c r="D11" s="95"/>
      <c r="E11" s="95"/>
      <c r="F11" s="95"/>
      <c r="G11" s="95"/>
      <c r="H11" s="95"/>
    </row>
    <row r="12" customFormat="false" ht="15" hidden="false" customHeight="true" outlineLevel="0" collapsed="false">
      <c r="A12" s="95"/>
      <c r="B12" s="95"/>
      <c r="C12" s="95"/>
      <c r="D12" s="95"/>
      <c r="E12" s="95"/>
      <c r="F12" s="95"/>
      <c r="G12" s="95"/>
      <c r="H12" s="95"/>
    </row>
    <row r="13" customFormat="false" ht="15" hidden="false" customHeight="true" outlineLevel="0" collapsed="false">
      <c r="A13" s="95"/>
      <c r="B13" s="95"/>
      <c r="C13" s="95"/>
      <c r="D13" s="95"/>
      <c r="E13" s="95"/>
      <c r="F13" s="95"/>
      <c r="G13" s="95"/>
      <c r="H13" s="95"/>
    </row>
    <row r="14" customFormat="false" ht="15" hidden="false" customHeight="true" outlineLevel="0" collapsed="false">
      <c r="A14" s="95"/>
      <c r="B14" s="95"/>
      <c r="C14" s="95"/>
      <c r="D14" s="95"/>
      <c r="E14" s="95"/>
      <c r="F14" s="95"/>
      <c r="G14" s="95"/>
      <c r="H14" s="95"/>
    </row>
    <row r="15" customFormat="false" ht="15" hidden="false" customHeight="true" outlineLevel="0" collapsed="false">
      <c r="A15" s="95"/>
      <c r="B15" s="95"/>
      <c r="C15" s="95"/>
      <c r="D15" s="95"/>
      <c r="E15" s="95"/>
      <c r="F15" s="95"/>
      <c r="G15" s="95"/>
      <c r="H15" s="95"/>
    </row>
    <row r="16" customFormat="false" ht="15" hidden="false" customHeight="true" outlineLevel="0" collapsed="false">
      <c r="A16" s="95"/>
      <c r="B16" s="95"/>
      <c r="C16" s="95"/>
      <c r="D16" s="95"/>
      <c r="E16" s="95"/>
      <c r="F16" s="95"/>
      <c r="G16" s="95"/>
      <c r="H16" s="95"/>
    </row>
    <row r="17" customFormat="false" ht="15" hidden="false" customHeight="true" outlineLevel="0" collapsed="false">
      <c r="A17" s="95"/>
      <c r="B17" s="95"/>
      <c r="C17" s="95"/>
      <c r="D17" s="95"/>
      <c r="E17" s="95"/>
      <c r="F17" s="95"/>
      <c r="G17" s="95"/>
      <c r="H17" s="95"/>
    </row>
    <row r="18" customFormat="false" ht="15" hidden="false" customHeight="true" outlineLevel="0" collapsed="false">
      <c r="A18" s="95"/>
      <c r="B18" s="95"/>
      <c r="C18" s="95"/>
      <c r="D18" s="95"/>
      <c r="E18" s="95"/>
      <c r="F18" s="95"/>
      <c r="G18" s="95"/>
      <c r="H18" s="95"/>
    </row>
    <row r="19" customFormat="false" ht="15" hidden="false" customHeight="true" outlineLevel="0" collapsed="false">
      <c r="A19" s="95"/>
      <c r="B19" s="95"/>
      <c r="C19" s="95"/>
      <c r="D19" s="95"/>
      <c r="E19" s="95"/>
      <c r="F19" s="95"/>
      <c r="G19" s="95"/>
      <c r="H19" s="95"/>
    </row>
    <row r="20" customFormat="false" ht="15" hidden="false" customHeight="true" outlineLevel="0" collapsed="false">
      <c r="A20" s="95"/>
      <c r="B20" s="95"/>
      <c r="C20" s="95"/>
      <c r="D20" s="95"/>
      <c r="E20" s="95"/>
      <c r="F20" s="95"/>
      <c r="G20" s="95"/>
      <c r="H20" s="95"/>
    </row>
    <row r="21" customFormat="false" ht="15" hidden="false" customHeight="true" outlineLevel="0" collapsed="false">
      <c r="A21" s="95"/>
      <c r="B21" s="95"/>
      <c r="C21" s="95"/>
      <c r="D21" s="95"/>
      <c r="E21" s="95"/>
      <c r="F21" s="95"/>
      <c r="G21" s="95"/>
      <c r="H21" s="95"/>
    </row>
    <row r="22" customFormat="false" ht="15" hidden="false" customHeight="true" outlineLevel="0" collapsed="false">
      <c r="A22" s="95"/>
      <c r="B22" s="95"/>
      <c r="C22" s="95"/>
      <c r="D22" s="95"/>
      <c r="E22" s="95"/>
      <c r="F22" s="95"/>
      <c r="G22" s="95"/>
      <c r="H22" s="95"/>
    </row>
    <row r="23" customFormat="false" ht="15" hidden="false" customHeight="true" outlineLevel="0" collapsed="false">
      <c r="A23" s="95"/>
      <c r="B23" s="95"/>
      <c r="C23" s="95"/>
      <c r="D23" s="95"/>
      <c r="E23" s="95"/>
      <c r="F23" s="95"/>
      <c r="G23" s="95"/>
      <c r="H23" s="95"/>
    </row>
    <row r="24" customFormat="false" ht="15" hidden="false" customHeight="true" outlineLevel="0" collapsed="false">
      <c r="A24" s="95"/>
      <c r="B24" s="95"/>
      <c r="C24" s="95"/>
      <c r="D24" s="95"/>
      <c r="E24" s="95"/>
      <c r="F24" s="95"/>
      <c r="G24" s="95"/>
      <c r="H24" s="95"/>
    </row>
    <row r="25" customFormat="false" ht="15" hidden="false" customHeight="true" outlineLevel="0" collapsed="false">
      <c r="A25" s="95"/>
      <c r="B25" s="95"/>
      <c r="C25" s="95"/>
      <c r="D25" s="95"/>
      <c r="E25" s="95"/>
      <c r="F25" s="95"/>
      <c r="G25" s="95"/>
      <c r="H25" s="95"/>
    </row>
    <row r="26" customFormat="false" ht="15" hidden="false" customHeight="true" outlineLevel="0" collapsed="false">
      <c r="A26" s="95"/>
      <c r="B26" s="95"/>
      <c r="C26" s="95"/>
      <c r="D26" s="95"/>
      <c r="E26" s="95"/>
      <c r="F26" s="95"/>
      <c r="G26" s="95"/>
      <c r="H26" s="95"/>
    </row>
    <row r="27" customFormat="false" ht="15" hidden="false" customHeight="true" outlineLevel="0" collapsed="false">
      <c r="A27" s="95"/>
      <c r="B27" s="95"/>
      <c r="C27" s="95"/>
      <c r="D27" s="95"/>
      <c r="E27" s="95"/>
      <c r="F27" s="95"/>
      <c r="G27" s="95"/>
      <c r="H27" s="95"/>
    </row>
    <row r="28" customFormat="false" ht="15" hidden="false" customHeight="true" outlineLevel="0" collapsed="false">
      <c r="A28" s="95"/>
      <c r="B28" s="95"/>
      <c r="C28" s="95"/>
      <c r="D28" s="95"/>
      <c r="E28" s="95"/>
      <c r="F28" s="95"/>
      <c r="G28" s="95"/>
      <c r="H28" s="95"/>
    </row>
    <row r="29" customFormat="false" ht="15" hidden="false" customHeight="true" outlineLevel="0" collapsed="false">
      <c r="A29" s="95"/>
      <c r="B29" s="95"/>
      <c r="C29" s="95"/>
      <c r="D29" s="95"/>
      <c r="E29" s="95"/>
      <c r="F29" s="95"/>
      <c r="G29" s="95"/>
      <c r="H29" s="95"/>
    </row>
    <row r="30" customFormat="false" ht="15" hidden="false" customHeight="true" outlineLevel="0" collapsed="false">
      <c r="A30" s="95"/>
      <c r="B30" s="95"/>
      <c r="C30" s="95"/>
      <c r="D30" s="95"/>
      <c r="E30" s="95"/>
      <c r="F30" s="95"/>
      <c r="G30" s="95"/>
      <c r="H30" s="95"/>
    </row>
    <row r="31" customFormat="false" ht="15" hidden="false" customHeight="true" outlineLevel="0" collapsed="false">
      <c r="A31" s="95"/>
      <c r="B31" s="95"/>
      <c r="C31" s="95"/>
      <c r="D31" s="95"/>
      <c r="E31" s="95"/>
      <c r="F31" s="95"/>
      <c r="G31" s="95"/>
      <c r="H31" s="95"/>
    </row>
    <row r="32" customFormat="false" ht="15" hidden="false" customHeight="true" outlineLevel="0" collapsed="false">
      <c r="A32" s="95"/>
      <c r="B32" s="95"/>
      <c r="C32" s="95"/>
      <c r="D32" s="95"/>
      <c r="E32" s="95"/>
      <c r="F32" s="95"/>
      <c r="G32" s="95"/>
      <c r="H32" s="95"/>
    </row>
    <row r="33" customFormat="false" ht="15" hidden="false" customHeight="true" outlineLevel="0" collapsed="false">
      <c r="A33" s="95"/>
      <c r="B33" s="95"/>
      <c r="C33" s="95"/>
      <c r="D33" s="95"/>
      <c r="E33" s="95"/>
      <c r="F33" s="95"/>
      <c r="G33" s="95"/>
      <c r="H33" s="95"/>
    </row>
    <row r="34" customFormat="false" ht="15" hidden="false" customHeight="true" outlineLevel="0" collapsed="false">
      <c r="A34" s="95"/>
      <c r="B34" s="95"/>
      <c r="C34" s="95"/>
      <c r="D34" s="95"/>
      <c r="E34" s="95"/>
      <c r="F34" s="95"/>
      <c r="G34" s="95"/>
      <c r="H34" s="95"/>
    </row>
    <row r="35" customFormat="false" ht="15" hidden="false" customHeight="true" outlineLevel="0" collapsed="false">
      <c r="A35" s="95"/>
      <c r="B35" s="95"/>
      <c r="C35" s="95"/>
      <c r="D35" s="95"/>
      <c r="E35" s="95"/>
      <c r="F35" s="95"/>
      <c r="G35" s="95"/>
      <c r="H35" s="95"/>
    </row>
    <row r="36" customFormat="false" ht="15" hidden="false" customHeight="true" outlineLevel="0" collapsed="false">
      <c r="A36" s="95"/>
      <c r="B36" s="95"/>
      <c r="C36" s="95"/>
      <c r="D36" s="95"/>
      <c r="E36" s="95"/>
      <c r="F36" s="95"/>
      <c r="G36" s="95"/>
      <c r="H36" s="95"/>
    </row>
    <row r="37" customFormat="false" ht="15" hidden="false" customHeight="true" outlineLevel="0" collapsed="false">
      <c r="A37" s="95"/>
      <c r="B37" s="95"/>
      <c r="C37" s="95"/>
      <c r="D37" s="95"/>
      <c r="E37" s="95"/>
      <c r="F37" s="95"/>
      <c r="G37" s="95"/>
      <c r="H37" s="95"/>
    </row>
    <row r="38" customFormat="false" ht="15" hidden="false" customHeight="true" outlineLevel="0" collapsed="false">
      <c r="A38" s="95"/>
      <c r="B38" s="95"/>
      <c r="C38" s="95"/>
      <c r="D38" s="95"/>
      <c r="E38" s="95"/>
      <c r="F38" s="95"/>
      <c r="G38" s="95"/>
      <c r="H38" s="95"/>
    </row>
    <row r="39" customFormat="false" ht="15" hidden="false" customHeight="true" outlineLevel="0" collapsed="false">
      <c r="A39" s="95"/>
      <c r="B39" s="95"/>
      <c r="C39" s="95"/>
      <c r="D39" s="95"/>
      <c r="E39" s="95"/>
      <c r="F39" s="95"/>
      <c r="G39" s="95"/>
      <c r="H39" s="95"/>
    </row>
    <row r="40" customFormat="false" ht="15" hidden="false" customHeight="true" outlineLevel="0" collapsed="false">
      <c r="A40" s="95"/>
      <c r="B40" s="95"/>
      <c r="C40" s="95"/>
      <c r="D40" s="95"/>
      <c r="E40" s="95"/>
      <c r="F40" s="95"/>
      <c r="G40" s="95"/>
      <c r="H40" s="95"/>
    </row>
    <row r="41" customFormat="false" ht="15" hidden="false" customHeight="true" outlineLevel="0" collapsed="false">
      <c r="A41" s="95"/>
      <c r="B41" s="95"/>
      <c r="C41" s="95"/>
      <c r="D41" s="95"/>
      <c r="E41" s="95"/>
      <c r="F41" s="95"/>
      <c r="G41" s="95"/>
      <c r="H41" s="95"/>
    </row>
    <row r="42" customFormat="false" ht="15" hidden="false" customHeight="true" outlineLevel="0" collapsed="false">
      <c r="A42" s="95"/>
      <c r="B42" s="95"/>
      <c r="C42" s="95"/>
      <c r="D42" s="95"/>
      <c r="E42" s="95"/>
      <c r="F42" s="95"/>
      <c r="G42" s="95"/>
      <c r="H42" s="95"/>
    </row>
    <row r="43" customFormat="false" ht="15" hidden="false" customHeight="true" outlineLevel="0" collapsed="false">
      <c r="A43" s="95"/>
      <c r="B43" s="95"/>
      <c r="C43" s="95"/>
      <c r="D43" s="95"/>
      <c r="E43" s="95"/>
      <c r="F43" s="95"/>
      <c r="G43" s="95"/>
      <c r="H43" s="95"/>
    </row>
    <row r="44" customFormat="false" ht="15" hidden="false" customHeight="true" outlineLevel="0" collapsed="false">
      <c r="A44" s="95"/>
      <c r="B44" s="95"/>
      <c r="C44" s="95"/>
      <c r="D44" s="95"/>
      <c r="E44" s="95"/>
      <c r="F44" s="95"/>
      <c r="G44" s="95"/>
      <c r="H44" s="95"/>
    </row>
    <row r="45" customFormat="false" ht="15" hidden="false" customHeight="true" outlineLevel="0" collapsed="false">
      <c r="A45" s="95"/>
      <c r="B45" s="95"/>
      <c r="C45" s="95"/>
      <c r="D45" s="95"/>
      <c r="E45" s="95"/>
      <c r="F45" s="95"/>
      <c r="G45" s="95"/>
      <c r="H45" s="95"/>
    </row>
    <row r="46" customFormat="false" ht="15" hidden="false" customHeight="true" outlineLevel="0" collapsed="false">
      <c r="A46" s="95"/>
      <c r="B46" s="95"/>
      <c r="C46" s="95"/>
      <c r="D46" s="95"/>
      <c r="E46" s="95"/>
      <c r="F46" s="95"/>
      <c r="G46" s="95"/>
      <c r="H46" s="95"/>
    </row>
    <row r="47" customFormat="false" ht="15" hidden="false" customHeight="true" outlineLevel="0" collapsed="false">
      <c r="A47" s="95"/>
      <c r="B47" s="95"/>
      <c r="C47" s="95"/>
      <c r="D47" s="95"/>
      <c r="E47" s="95"/>
      <c r="F47" s="95"/>
      <c r="G47" s="95"/>
      <c r="H47" s="95"/>
    </row>
    <row r="48" customFormat="false" ht="15" hidden="false" customHeight="true" outlineLevel="0" collapsed="false">
      <c r="A48" s="95"/>
      <c r="B48" s="95"/>
      <c r="C48" s="95"/>
      <c r="D48" s="95"/>
      <c r="E48" s="95"/>
      <c r="F48" s="95"/>
      <c r="G48" s="95"/>
      <c r="H48" s="95"/>
    </row>
    <row r="49" customFormat="false" ht="15" hidden="false" customHeight="true" outlineLevel="0" collapsed="false">
      <c r="A49" s="95"/>
      <c r="B49" s="95"/>
      <c r="C49" s="95"/>
      <c r="D49" s="95"/>
      <c r="E49" s="95"/>
      <c r="F49" s="95"/>
      <c r="G49" s="95"/>
      <c r="H49" s="95"/>
    </row>
    <row r="50" customFormat="false" ht="15" hidden="false" customHeight="true" outlineLevel="0" collapsed="false">
      <c r="A50" s="95"/>
      <c r="B50" s="95"/>
      <c r="C50" s="95"/>
      <c r="D50" s="95"/>
      <c r="E50" s="95"/>
      <c r="F50" s="95"/>
      <c r="G50" s="95"/>
      <c r="H50" s="95"/>
    </row>
    <row r="51" customFormat="false" ht="15" hidden="false" customHeight="true" outlineLevel="0" collapsed="false">
      <c r="A51" s="95"/>
      <c r="B51" s="95"/>
      <c r="C51" s="95"/>
      <c r="D51" s="95"/>
      <c r="E51" s="95"/>
      <c r="F51" s="95"/>
      <c r="G51" s="95"/>
      <c r="H51" s="95"/>
    </row>
    <row r="52" customFormat="false" ht="15" hidden="false" customHeight="true" outlineLevel="0" collapsed="false">
      <c r="A52" s="95"/>
      <c r="B52" s="95"/>
      <c r="C52" s="95"/>
      <c r="D52" s="95"/>
      <c r="E52" s="95"/>
      <c r="F52" s="95"/>
      <c r="G52" s="95"/>
      <c r="H52" s="95"/>
    </row>
    <row r="53" customFormat="false" ht="15" hidden="false" customHeight="true" outlineLevel="0" collapsed="false">
      <c r="A53" s="95"/>
      <c r="B53" s="95"/>
      <c r="C53" s="95"/>
      <c r="D53" s="95"/>
      <c r="E53" s="95"/>
      <c r="F53" s="95"/>
      <c r="G53" s="95"/>
      <c r="H53" s="95"/>
    </row>
    <row r="54" customFormat="false" ht="15" hidden="false" customHeight="true" outlineLevel="0" collapsed="false">
      <c r="A54" s="95"/>
      <c r="B54" s="95"/>
      <c r="C54" s="95"/>
      <c r="D54" s="95"/>
      <c r="E54" s="95"/>
      <c r="F54" s="95"/>
      <c r="G54" s="95"/>
      <c r="H54" s="95"/>
    </row>
    <row r="55" customFormat="false" ht="15" hidden="false" customHeight="true" outlineLevel="0" collapsed="false">
      <c r="A55" s="95"/>
      <c r="B55" s="95"/>
      <c r="C55" s="95"/>
      <c r="D55" s="95"/>
      <c r="E55" s="95"/>
      <c r="F55" s="95"/>
      <c r="G55" s="95"/>
      <c r="H55" s="95"/>
    </row>
    <row r="56" customFormat="false" ht="15" hidden="false" customHeight="true" outlineLevel="0" collapsed="false">
      <c r="A56" s="95"/>
      <c r="B56" s="95"/>
      <c r="C56" s="95"/>
      <c r="D56" s="95"/>
      <c r="E56" s="95"/>
      <c r="F56" s="95"/>
      <c r="G56" s="95"/>
      <c r="H56" s="95"/>
    </row>
    <row r="57" customFormat="false" ht="15" hidden="false" customHeight="true" outlineLevel="0" collapsed="false">
      <c r="A57" s="95"/>
      <c r="B57" s="95"/>
      <c r="C57" s="95"/>
      <c r="D57" s="95"/>
      <c r="E57" s="95"/>
      <c r="F57" s="95"/>
      <c r="G57" s="95"/>
      <c r="H57" s="95"/>
    </row>
    <row r="58" customFormat="false" ht="15" hidden="false" customHeight="true" outlineLevel="0" collapsed="false">
      <c r="A58" s="95"/>
      <c r="B58" s="95"/>
      <c r="C58" s="95"/>
      <c r="D58" s="95"/>
      <c r="E58" s="95"/>
      <c r="F58" s="95"/>
      <c r="G58" s="95"/>
      <c r="H58" s="95"/>
    </row>
    <row r="59" customFormat="false" ht="15" hidden="false" customHeight="true" outlineLevel="0" collapsed="false">
      <c r="A59" s="95"/>
      <c r="B59" s="95"/>
      <c r="C59" s="95"/>
      <c r="D59" s="95"/>
      <c r="E59" s="95"/>
      <c r="F59" s="95"/>
      <c r="G59" s="95"/>
      <c r="H59" s="95"/>
    </row>
    <row r="60" customFormat="false" ht="15" hidden="false" customHeight="true" outlineLevel="0" collapsed="false">
      <c r="A60" s="95"/>
      <c r="B60" s="95"/>
      <c r="C60" s="95"/>
      <c r="D60" s="95"/>
      <c r="E60" s="95"/>
      <c r="F60" s="95"/>
      <c r="G60" s="95"/>
      <c r="H60" s="95"/>
    </row>
  </sheetData>
  <sheetProtection sheet="true" password="dd98" formatColumns="false" formatRows="false" sort="false" autoFilter="false"/>
  <mergeCells count="1">
    <mergeCell ref="A1:H1"/>
  </mergeCells>
  <dataValidations count="1">
    <dataValidation allowBlank="false" errorStyle="stop" operator="between" showDropDown="false" showErrorMessage="false" showInputMessage="false" sqref="C3:C199" type="list">
      <formula1>LeaveTypes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8" min="5" style="1" width="14"/>
    <col collapsed="false" customWidth="true" hidden="false" outlineLevel="0" max="9" min="9" style="1" width="20"/>
    <col collapsed="false" customWidth="true" hidden="false" outlineLevel="0" max="10" min="10" style="1" width="14"/>
    <col collapsed="false" customWidth="true" hidden="false" outlineLevel="0" max="11" min="11" style="1" width="16"/>
  </cols>
  <sheetData>
    <row r="1" customFormat="false" ht="30" hidden="false" customHeight="true" outlineLevel="0" collapsed="false">
      <c r="A1" s="13" t="s">
        <v>207</v>
      </c>
      <c r="B1" s="13"/>
      <c r="C1" s="13"/>
      <c r="D1" s="13"/>
      <c r="E1" s="13"/>
      <c r="F1" s="13"/>
      <c r="G1" s="13"/>
      <c r="H1" s="13"/>
      <c r="I1" s="13"/>
    </row>
    <row r="2" customFormat="false" ht="19.5" hidden="false" customHeight="true" outlineLevel="0" collapsed="false">
      <c r="A2" s="77" t="s">
        <v>208</v>
      </c>
      <c r="B2" s="77" t="s">
        <v>209</v>
      </c>
      <c r="C2" s="77" t="s">
        <v>210</v>
      </c>
      <c r="D2" s="77" t="s">
        <v>211</v>
      </c>
      <c r="E2" s="77" t="s">
        <v>212</v>
      </c>
      <c r="F2" s="77" t="s">
        <v>213</v>
      </c>
      <c r="G2" s="77" t="s">
        <v>106</v>
      </c>
      <c r="H2" s="77" t="s">
        <v>214</v>
      </c>
      <c r="I2" s="77" t="s">
        <v>206</v>
      </c>
      <c r="J2" s="77" t="s">
        <v>215</v>
      </c>
      <c r="K2" s="77" t="s">
        <v>216</v>
      </c>
      <c r="L2" s="77" t="s">
        <v>217</v>
      </c>
    </row>
    <row r="3" customFormat="false" ht="15.75" hidden="false" customHeight="true" outlineLevel="0" collapsed="false">
      <c r="A3" s="78"/>
      <c r="B3" s="97"/>
      <c r="C3" s="97"/>
      <c r="D3" s="97"/>
      <c r="E3" s="98"/>
      <c r="F3" s="97"/>
      <c r="G3" s="97"/>
      <c r="H3" s="97"/>
      <c r="I3" s="97"/>
      <c r="J3" s="99"/>
      <c r="K3" s="79"/>
      <c r="L3" s="79"/>
    </row>
    <row r="4" customFormat="false" ht="15.75" hidden="false" customHeight="true" outlineLevel="0" collapsed="false">
      <c r="A4" s="86"/>
      <c r="B4" s="97"/>
      <c r="C4" s="97"/>
      <c r="D4" s="97"/>
      <c r="E4" s="98"/>
      <c r="F4" s="97"/>
      <c r="G4" s="97"/>
      <c r="H4" s="97"/>
      <c r="I4" s="97"/>
      <c r="J4" s="99"/>
      <c r="K4" s="87"/>
      <c r="L4" s="87"/>
    </row>
    <row r="5" customFormat="false" ht="15.75" hidden="false" customHeight="true" outlineLevel="0" collapsed="false">
      <c r="A5" s="78"/>
      <c r="B5" s="97"/>
      <c r="C5" s="97"/>
      <c r="D5" s="97"/>
      <c r="E5" s="98"/>
      <c r="F5" s="97"/>
      <c r="G5" s="97"/>
      <c r="H5" s="97"/>
      <c r="I5" s="97"/>
      <c r="J5" s="99"/>
      <c r="K5" s="79"/>
      <c r="L5" s="79"/>
    </row>
    <row r="6" customFormat="false" ht="15.75" hidden="false" customHeight="true" outlineLevel="0" collapsed="false">
      <c r="A6" s="86"/>
      <c r="B6" s="97"/>
      <c r="C6" s="97"/>
      <c r="D6" s="97"/>
      <c r="E6" s="98"/>
      <c r="F6" s="97"/>
      <c r="G6" s="97"/>
      <c r="H6" s="97"/>
      <c r="I6" s="97"/>
      <c r="J6" s="97"/>
      <c r="K6" s="87"/>
      <c r="L6" s="87"/>
    </row>
    <row r="7" customFormat="false" ht="15.75" hidden="false" customHeight="true" outlineLevel="0" collapsed="false">
      <c r="A7" s="78"/>
      <c r="B7" s="97"/>
      <c r="C7" s="97"/>
      <c r="D7" s="97"/>
      <c r="E7" s="98"/>
      <c r="F7" s="97"/>
      <c r="G7" s="97"/>
      <c r="H7" s="97"/>
      <c r="I7" s="97"/>
      <c r="J7" s="99"/>
      <c r="K7" s="79"/>
      <c r="L7" s="79"/>
    </row>
    <row r="8" customFormat="false" ht="15.75" hidden="false" customHeight="true" outlineLevel="0" collapsed="false">
      <c r="A8" s="86"/>
      <c r="B8" s="97"/>
      <c r="C8" s="97"/>
      <c r="D8" s="97"/>
      <c r="E8" s="98"/>
      <c r="F8" s="97"/>
      <c r="G8" s="97"/>
      <c r="H8" s="97"/>
      <c r="I8" s="97"/>
      <c r="J8" s="99"/>
      <c r="K8" s="87"/>
      <c r="L8" s="87"/>
    </row>
    <row r="9" customFormat="false" ht="15.75" hidden="false" customHeight="true" outlineLevel="0" collapsed="false">
      <c r="A9" s="78"/>
      <c r="B9" s="97"/>
      <c r="C9" s="97"/>
      <c r="D9" s="97"/>
      <c r="E9" s="98"/>
      <c r="F9" s="97"/>
      <c r="G9" s="97"/>
      <c r="H9" s="97"/>
      <c r="I9" s="97"/>
      <c r="J9" s="99"/>
      <c r="K9" s="79"/>
      <c r="L9" s="79"/>
    </row>
    <row r="10" customFormat="false" ht="15" hidden="false" customHeight="true" outlineLevel="0" collapsed="false">
      <c r="A10" s="95"/>
      <c r="B10" s="95"/>
      <c r="C10" s="95"/>
      <c r="D10" s="95"/>
      <c r="E10" s="95"/>
      <c r="F10" s="95"/>
      <c r="G10" s="95"/>
      <c r="H10" s="95"/>
      <c r="I10" s="95"/>
      <c r="J10" s="95"/>
    </row>
    <row r="11" customFormat="false" ht="13.5" hidden="false" customHeight="true" outlineLevel="0" collapsed="false">
      <c r="A11" s="95"/>
      <c r="B11" s="95"/>
      <c r="C11" s="95"/>
      <c r="D11" s="95"/>
      <c r="E11" s="95"/>
      <c r="F11" s="95"/>
      <c r="G11" s="95"/>
      <c r="H11" s="95"/>
      <c r="I11" s="95"/>
      <c r="J11" s="95"/>
    </row>
    <row r="12" customFormat="false" ht="21.75" hidden="false" customHeight="true" outlineLevel="0" collapsed="false">
      <c r="A12" s="100" t="s">
        <v>218</v>
      </c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</row>
    <row r="13" customFormat="false" ht="18" hidden="false" customHeight="true" outlineLevel="0" collapsed="false">
      <c r="A13" s="101" t="s">
        <v>219</v>
      </c>
      <c r="B13" s="101" t="s">
        <v>220</v>
      </c>
      <c r="C13" s="101" t="s">
        <v>221</v>
      </c>
      <c r="D13" s="101" t="s">
        <v>222</v>
      </c>
      <c r="E13" s="101" t="s">
        <v>223</v>
      </c>
      <c r="F13" s="101" t="s">
        <v>224</v>
      </c>
      <c r="G13" s="101" t="s">
        <v>225</v>
      </c>
      <c r="H13" s="95"/>
      <c r="I13" s="95"/>
      <c r="J13" s="95"/>
    </row>
    <row r="14" customFormat="false" ht="24" hidden="false" customHeight="true" outlineLevel="0" collapsed="false">
      <c r="A14" s="102" t="n">
        <f aca="false">COUNTIF(G3:G9,"Applied")</f>
        <v>0</v>
      </c>
      <c r="B14" s="102" t="n">
        <f aca="false">COUNTIF(G3:G9,"Interviewed")+COUNTIF(G3:G9,"Technical Assessment")+COUNTIF(G3:G9,"Offer Extended")</f>
        <v>0</v>
      </c>
      <c r="C14" s="102" t="n">
        <f aca="false">COUNTIF(G3:G9,"Hired")</f>
        <v>0</v>
      </c>
      <c r="D14" s="102" t="n">
        <f aca="false">COUNTIF(G3:G9,"Rejected")</f>
        <v>0</v>
      </c>
      <c r="E14" s="102" t="n">
        <f aca="false">IFERROR(ROUND(AVERAGE(F3:F9),1),0)</f>
        <v>0</v>
      </c>
      <c r="F14" s="103" t="str">
        <f aca="false">IFERROR(ROUND(AVERAGE(K3:K9),0),"N/A")</f>
        <v>N/A</v>
      </c>
      <c r="G14" s="103" t="str">
        <f aca="false">IFERROR(TEXT(COUNTIF(G3:G9,"Hired")/COUNTA(A3:A9),"0%"),"0%")</f>
        <v>0%</v>
      </c>
      <c r="H14" s="95"/>
      <c r="I14" s="95"/>
      <c r="J14" s="95"/>
    </row>
    <row r="15" customFormat="false" ht="15" hidden="false" customHeight="true" outlineLevel="0" collapsed="false">
      <c r="A15" s="95"/>
      <c r="B15" s="95"/>
      <c r="C15" s="95"/>
      <c r="D15" s="95"/>
      <c r="E15" s="95"/>
      <c r="F15" s="95"/>
      <c r="G15" s="95"/>
      <c r="H15" s="95"/>
      <c r="I15" s="95"/>
      <c r="J15" s="95"/>
    </row>
    <row r="16" customFormat="false" ht="18" hidden="false" customHeight="true" outlineLevel="0" collapsed="false">
      <c r="A16" s="104" t="s">
        <v>211</v>
      </c>
      <c r="B16" s="104" t="s">
        <v>226</v>
      </c>
      <c r="C16" s="104" t="s">
        <v>227</v>
      </c>
      <c r="D16" s="104" t="s">
        <v>221</v>
      </c>
      <c r="E16" s="95"/>
      <c r="F16" s="95"/>
      <c r="G16" s="95"/>
      <c r="H16" s="95"/>
      <c r="I16" s="95"/>
      <c r="J16" s="95"/>
    </row>
    <row r="17" customFormat="false" ht="15" hidden="false" customHeight="true" outlineLevel="0" collapsed="false">
      <c r="A17" s="78" t="s">
        <v>228</v>
      </c>
      <c r="B17" s="105" t="n">
        <f aca="false">COUNTIF(D3:D9,"LinkedIn")</f>
        <v>0</v>
      </c>
      <c r="C17" s="105" t="str">
        <f aca="false">IFERROR(TEXT(COUNTIF(D3:D9,"LinkedIn")/COUNTA(A3:A9),"0%"),"")</f>
        <v/>
      </c>
      <c r="D17" s="105" t="n">
        <f aca="false">COUNTIFS(D3:D9,"LinkedIn",G3:G9,"Hired")</f>
        <v>0</v>
      </c>
      <c r="E17" s="95"/>
      <c r="F17" s="95"/>
      <c r="G17" s="95"/>
      <c r="H17" s="95"/>
      <c r="I17" s="95"/>
      <c r="J17" s="95"/>
    </row>
    <row r="18" customFormat="false" ht="15" hidden="false" customHeight="true" outlineLevel="0" collapsed="false">
      <c r="A18" s="86" t="s">
        <v>229</v>
      </c>
      <c r="B18" s="106" t="n">
        <f aca="false">COUNTIF(D3:D9,"Referral")</f>
        <v>0</v>
      </c>
      <c r="C18" s="106" t="str">
        <f aca="false">IFERROR(TEXT(COUNTIF(D3:D9,"Referral")/COUNTA(A3:A9),"0%"),"")</f>
        <v/>
      </c>
      <c r="D18" s="106" t="n">
        <f aca="false">COUNTIFS(D3:D9,"Referral",G3:G9,"Hired")</f>
        <v>0</v>
      </c>
      <c r="E18" s="95"/>
      <c r="F18" s="95"/>
      <c r="G18" s="95"/>
      <c r="H18" s="95"/>
      <c r="I18" s="95"/>
      <c r="J18" s="95"/>
    </row>
    <row r="19" customFormat="false" ht="15" hidden="false" customHeight="true" outlineLevel="0" collapsed="false">
      <c r="A19" s="78" t="s">
        <v>230</v>
      </c>
      <c r="B19" s="105" t="n">
        <f aca="false">COUNTIF(D3:D9,"Indeed")</f>
        <v>0</v>
      </c>
      <c r="C19" s="105" t="str">
        <f aca="false">IFERROR(TEXT(COUNTIF(D3:D9,"Indeed")/COUNTA(A3:A9),"0%"),"")</f>
        <v/>
      </c>
      <c r="D19" s="105" t="n">
        <f aca="false">COUNTIFS(D3:D9,"Indeed",G3:G9,"Hired")</f>
        <v>0</v>
      </c>
      <c r="E19" s="95"/>
      <c r="F19" s="95"/>
      <c r="G19" s="95"/>
      <c r="H19" s="95"/>
      <c r="I19" s="95"/>
      <c r="J19" s="95"/>
    </row>
    <row r="20" customFormat="false" ht="15" hidden="false" customHeight="true" outlineLevel="0" collapsed="false">
      <c r="A20" s="86" t="s">
        <v>231</v>
      </c>
      <c r="B20" s="106" t="n">
        <f aca="false">COUNTIF(D3:D9,"Company Website")</f>
        <v>0</v>
      </c>
      <c r="C20" s="106" t="str">
        <f aca="false">IFERROR(TEXT(COUNTIF(D3:D9,"Company Website")/COUNTA(A3:A9),"0%"),"")</f>
        <v/>
      </c>
      <c r="D20" s="106" t="n">
        <f aca="false">COUNTIFS(D3:D9,"Company Website",G3:G9,"Hired")</f>
        <v>0</v>
      </c>
      <c r="E20" s="95"/>
      <c r="F20" s="95"/>
      <c r="G20" s="95"/>
      <c r="H20" s="95"/>
      <c r="I20" s="95"/>
      <c r="J20" s="95"/>
    </row>
    <row r="21" customFormat="false" ht="15" hidden="false" customHeight="true" outlineLevel="0" collapsed="false">
      <c r="A21" s="78" t="s">
        <v>232</v>
      </c>
      <c r="B21" s="105" t="n">
        <f aca="false">COUNTIF(D3:D9,"Agency")</f>
        <v>0</v>
      </c>
      <c r="C21" s="105" t="str">
        <f aca="false">IFERROR(TEXT(COUNTIF(D3:D9,"Agency")/COUNTA(A3:A9),"0%"),"")</f>
        <v/>
      </c>
      <c r="D21" s="105" t="n">
        <f aca="false">COUNTIFS(D3:D9,"Agency",G3:G9,"Hired")</f>
        <v>0</v>
      </c>
      <c r="E21" s="95"/>
      <c r="F21" s="95"/>
      <c r="G21" s="95"/>
      <c r="H21" s="95"/>
      <c r="I21" s="95"/>
      <c r="J21" s="95"/>
    </row>
    <row r="22" customFormat="false" ht="15" hidden="false" customHeight="true" outlineLevel="0" collapsed="false">
      <c r="A22" s="86" t="s">
        <v>233</v>
      </c>
      <c r="B22" s="106" t="n">
        <f aca="false">COUNTIF(D3:D9,"Job Board")</f>
        <v>0</v>
      </c>
      <c r="C22" s="106" t="str">
        <f aca="false">IFERROR(TEXT(COUNTIF(D3:D9,"Job Board")/COUNTA(A3:A9),"0%"),"")</f>
        <v/>
      </c>
      <c r="D22" s="106" t="n">
        <f aca="false">COUNTIFS(D3:D9,"Job Board",G3:G9,"Hired")</f>
        <v>0</v>
      </c>
      <c r="E22" s="95"/>
      <c r="F22" s="95"/>
      <c r="G22" s="95"/>
      <c r="H22" s="95"/>
      <c r="I22" s="95"/>
      <c r="J22" s="95"/>
    </row>
    <row r="23" customFormat="false" ht="15" hidden="false" customHeight="true" outlineLevel="0" collapsed="false">
      <c r="A23" s="95"/>
      <c r="B23" s="95"/>
      <c r="C23" s="95"/>
      <c r="D23" s="95"/>
      <c r="E23" s="95"/>
      <c r="F23" s="95"/>
      <c r="G23" s="95"/>
      <c r="H23" s="95"/>
      <c r="I23" s="95"/>
      <c r="J23" s="95"/>
    </row>
    <row r="24" customFormat="false" ht="15" hidden="false" customHeight="true" outlineLevel="0" collapsed="false">
      <c r="A24" s="95"/>
      <c r="B24" s="95"/>
      <c r="C24" s="95"/>
      <c r="D24" s="95"/>
      <c r="E24" s="95"/>
      <c r="F24" s="95"/>
      <c r="G24" s="95"/>
      <c r="H24" s="95"/>
      <c r="I24" s="95"/>
      <c r="J24" s="95"/>
    </row>
    <row r="25" customFormat="false" ht="15" hidden="false" customHeight="true" outlineLevel="0" collapsed="false">
      <c r="A25" s="95"/>
      <c r="B25" s="95"/>
      <c r="C25" s="95"/>
      <c r="D25" s="95"/>
      <c r="E25" s="95"/>
      <c r="F25" s="95"/>
      <c r="G25" s="95"/>
      <c r="H25" s="95"/>
      <c r="I25" s="95"/>
      <c r="J25" s="95"/>
    </row>
    <row r="26" customFormat="false" ht="15" hidden="false" customHeight="true" outlineLevel="0" collapsed="false">
      <c r="A26" s="95"/>
      <c r="B26" s="95"/>
      <c r="C26" s="95"/>
      <c r="D26" s="95"/>
      <c r="E26" s="95"/>
      <c r="F26" s="95"/>
      <c r="G26" s="95"/>
      <c r="H26" s="95"/>
      <c r="I26" s="95"/>
      <c r="J26" s="95"/>
    </row>
    <row r="27" customFormat="false" ht="15" hidden="false" customHeight="true" outlineLevel="0" collapsed="false">
      <c r="A27" s="95"/>
      <c r="B27" s="95"/>
      <c r="C27" s="95"/>
      <c r="D27" s="95"/>
      <c r="E27" s="95"/>
      <c r="F27" s="95"/>
      <c r="G27" s="95"/>
      <c r="H27" s="95"/>
      <c r="I27" s="95"/>
      <c r="J27" s="95"/>
    </row>
    <row r="28" customFormat="false" ht="15" hidden="false" customHeight="true" outlineLevel="0" collapsed="false">
      <c r="A28" s="95"/>
      <c r="B28" s="95"/>
      <c r="C28" s="95"/>
      <c r="D28" s="95"/>
      <c r="E28" s="95"/>
      <c r="F28" s="95"/>
      <c r="G28" s="95"/>
      <c r="H28" s="95"/>
      <c r="I28" s="95"/>
      <c r="J28" s="95"/>
    </row>
    <row r="29" customFormat="false" ht="15" hidden="false" customHeight="true" outlineLevel="0" collapsed="false">
      <c r="A29" s="95"/>
      <c r="B29" s="95"/>
      <c r="C29" s="95"/>
      <c r="D29" s="95"/>
      <c r="E29" s="95"/>
      <c r="F29" s="95"/>
      <c r="G29" s="95"/>
      <c r="H29" s="95"/>
      <c r="I29" s="95"/>
      <c r="J29" s="95"/>
    </row>
    <row r="30" customFormat="false" ht="15" hidden="false" customHeight="true" outlineLevel="0" collapsed="false">
      <c r="A30" s="95"/>
      <c r="B30" s="95"/>
      <c r="C30" s="95"/>
      <c r="D30" s="95"/>
      <c r="E30" s="95"/>
      <c r="F30" s="95"/>
      <c r="G30" s="95"/>
      <c r="H30" s="95"/>
      <c r="I30" s="95"/>
      <c r="J30" s="95"/>
    </row>
  </sheetData>
  <sheetProtection sheet="true" password="dd98" formatColumns="false" formatRows="false" sort="false" autoFilter="false"/>
  <mergeCells count="2">
    <mergeCell ref="A1:I1"/>
    <mergeCell ref="A12:L12"/>
  </mergeCells>
  <dataValidations count="2">
    <dataValidation allowBlank="false" errorStyle="stop" operator="between" showDropDown="false" showErrorMessage="true" showInputMessage="false" sqref="F3:F199" type="whole">
      <formula1>1</formula1>
      <formula2>5</formula2>
    </dataValidation>
    <dataValidation allowBlank="false" errorStyle="stop" operator="between" showDropDown="false" showErrorMessage="false" showInputMessage="false" sqref="G3:G199" type="list">
      <formula1>"Applied,Technical Assessment,Interviewed,Offer Extended,Hired,Rejected"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14" min="3" style="1" width="10"/>
    <col collapsed="false" customWidth="true" hidden="false" outlineLevel="0" max="16" min="16" style="1" width="13"/>
  </cols>
  <sheetData>
    <row r="1" customFormat="false" ht="30" hidden="false" customHeight="true" outlineLevel="0" collapsed="false">
      <c r="A1" s="107" t="s">
        <v>234</v>
      </c>
    </row>
    <row r="2" customFormat="false" ht="15.75" hidden="false" customHeight="true" outlineLevel="0" collapsed="false">
      <c r="A2" s="108" t="s">
        <v>235</v>
      </c>
    </row>
    <row r="3" customFormat="false" ht="19.5" hidden="false" customHeight="true" outlineLevel="0" collapsed="false">
      <c r="A3" s="77" t="s">
        <v>74</v>
      </c>
      <c r="B3" s="77" t="s">
        <v>89</v>
      </c>
      <c r="C3" s="109" t="s">
        <v>236</v>
      </c>
      <c r="D3" s="109" t="s">
        <v>237</v>
      </c>
      <c r="E3" s="109" t="s">
        <v>238</v>
      </c>
      <c r="F3" s="109" t="s">
        <v>239</v>
      </c>
      <c r="G3" s="77" t="s">
        <v>240</v>
      </c>
      <c r="H3" s="77" t="s">
        <v>241</v>
      </c>
      <c r="I3" s="77" t="s">
        <v>242</v>
      </c>
      <c r="J3" s="77" t="s">
        <v>243</v>
      </c>
      <c r="K3" s="77" t="s">
        <v>244</v>
      </c>
      <c r="L3" s="77" t="s">
        <v>245</v>
      </c>
      <c r="M3" s="77" t="s">
        <v>246</v>
      </c>
      <c r="N3" s="77" t="s">
        <v>247</v>
      </c>
      <c r="O3" s="77" t="s">
        <v>143</v>
      </c>
    </row>
    <row r="4" customFormat="false" ht="15.75" hidden="false" customHeight="true" outlineLevel="0" collapsed="false">
      <c r="A4" s="110"/>
      <c r="B4" s="78" t="str">
        <f aca="false">IFERROR(VLOOKUP(A4,'EMP Employees'!$A:$B,2,0),"")</f>
        <v/>
      </c>
      <c r="C4" s="111"/>
      <c r="D4" s="111"/>
      <c r="E4" s="111"/>
      <c r="F4" s="111"/>
      <c r="G4" s="112"/>
      <c r="H4" s="113"/>
      <c r="I4" s="113"/>
      <c r="J4" s="113"/>
      <c r="K4" s="113"/>
      <c r="L4" s="113"/>
      <c r="M4" s="113"/>
      <c r="N4" s="113"/>
      <c r="O4" s="114" t="n">
        <f aca="false">SUM(C4:N4)</f>
        <v>0</v>
      </c>
      <c r="P4" s="115" t="n">
        <f aca="false">SUM(C4:G4)</f>
        <v>0</v>
      </c>
    </row>
    <row r="5" customFormat="false" ht="15.75" hidden="false" customHeight="true" outlineLevel="0" collapsed="false">
      <c r="A5" s="116"/>
      <c r="B5" s="86" t="str">
        <f aca="false">IFERROR(VLOOKUP(A5,'EMP Employees'!$A:$B,2,0),"")</f>
        <v/>
      </c>
      <c r="C5" s="117"/>
      <c r="D5" s="117"/>
      <c r="E5" s="117"/>
      <c r="F5" s="117"/>
      <c r="G5" s="112"/>
      <c r="H5" s="118"/>
      <c r="I5" s="118"/>
      <c r="J5" s="118"/>
      <c r="K5" s="118"/>
      <c r="L5" s="118"/>
      <c r="M5" s="118"/>
      <c r="N5" s="118"/>
      <c r="O5" s="114" t="n">
        <f aca="false">SUM(C5:N5)</f>
        <v>0</v>
      </c>
      <c r="P5" s="115" t="n">
        <f aca="false">SUM(C5:G5)</f>
        <v>0</v>
      </c>
    </row>
    <row r="6" customFormat="false" ht="15.75" hidden="false" customHeight="true" outlineLevel="0" collapsed="false">
      <c r="A6" s="110"/>
      <c r="B6" s="78" t="str">
        <f aca="false">IFERROR(VLOOKUP(A6,'EMP Employees'!$A:$B,2,0),"")</f>
        <v/>
      </c>
      <c r="C6" s="111"/>
      <c r="D6" s="111"/>
      <c r="E6" s="111"/>
      <c r="F6" s="111"/>
      <c r="G6" s="112"/>
      <c r="H6" s="113"/>
      <c r="I6" s="113"/>
      <c r="J6" s="113"/>
      <c r="K6" s="113"/>
      <c r="L6" s="113"/>
      <c r="M6" s="113"/>
      <c r="N6" s="113"/>
      <c r="O6" s="114" t="n">
        <f aca="false">SUM(C6:N6)</f>
        <v>0</v>
      </c>
      <c r="P6" s="115" t="n">
        <f aca="false">SUM(C6:G6)</f>
        <v>0</v>
      </c>
    </row>
    <row r="7" customFormat="false" ht="15.75" hidden="false" customHeight="true" outlineLevel="0" collapsed="false">
      <c r="A7" s="116"/>
      <c r="B7" s="86" t="str">
        <f aca="false">IFERROR(VLOOKUP(A7,'EMP Employees'!$A:$B,2,0),"")</f>
        <v/>
      </c>
      <c r="C7" s="117"/>
      <c r="D7" s="117"/>
      <c r="E7" s="117"/>
      <c r="F7" s="117"/>
      <c r="G7" s="112"/>
      <c r="H7" s="118"/>
      <c r="I7" s="118"/>
      <c r="J7" s="118"/>
      <c r="K7" s="118"/>
      <c r="L7" s="118"/>
      <c r="M7" s="118"/>
      <c r="N7" s="118"/>
      <c r="O7" s="114" t="n">
        <f aca="false">SUM(C7:N7)</f>
        <v>0</v>
      </c>
      <c r="P7" s="115" t="n">
        <f aca="false">SUM(C7:G7)</f>
        <v>0</v>
      </c>
    </row>
    <row r="8" customFormat="false" ht="15.75" hidden="false" customHeight="true" outlineLevel="0" collapsed="false">
      <c r="A8" s="110"/>
      <c r="B8" s="78" t="str">
        <f aca="false">IFERROR(VLOOKUP(A8,'EMP Employees'!$A:$B,2,0),"")</f>
        <v/>
      </c>
      <c r="C8" s="111"/>
      <c r="D8" s="111"/>
      <c r="E8" s="111"/>
      <c r="F8" s="111"/>
      <c r="G8" s="112"/>
      <c r="H8" s="113"/>
      <c r="I8" s="113"/>
      <c r="J8" s="113"/>
      <c r="K8" s="113"/>
      <c r="L8" s="113"/>
      <c r="M8" s="113"/>
      <c r="N8" s="113"/>
      <c r="O8" s="114" t="n">
        <f aca="false">SUM(C8:N8)</f>
        <v>0</v>
      </c>
      <c r="P8" s="115" t="n">
        <f aca="false">SUM(C8:G8)</f>
        <v>0</v>
      </c>
    </row>
    <row r="9" customFormat="false" ht="15.75" hidden="false" customHeight="true" outlineLevel="0" collapsed="false">
      <c r="A9" s="116"/>
      <c r="B9" s="86" t="str">
        <f aca="false">IFERROR(VLOOKUP(A9,'EMP Employees'!$A:$B,2,0),"")</f>
        <v/>
      </c>
      <c r="C9" s="117"/>
      <c r="D9" s="117"/>
      <c r="E9" s="117"/>
      <c r="F9" s="117"/>
      <c r="G9" s="112"/>
      <c r="H9" s="118"/>
      <c r="I9" s="118"/>
      <c r="J9" s="118"/>
      <c r="K9" s="118"/>
      <c r="L9" s="118"/>
      <c r="M9" s="118"/>
      <c r="N9" s="118"/>
      <c r="O9" s="114" t="n">
        <f aca="false">SUM(C9:N9)</f>
        <v>0</v>
      </c>
      <c r="P9" s="115" t="n">
        <f aca="false">SUM(C9:G9)</f>
        <v>0</v>
      </c>
    </row>
    <row r="10" customFormat="false" ht="15.75" hidden="false" customHeight="true" outlineLevel="0" collapsed="false">
      <c r="A10" s="110"/>
      <c r="B10" s="78" t="str">
        <f aca="false">IFERROR(VLOOKUP(A10,'EMP Employees'!$A:$B,2,0),"")</f>
        <v/>
      </c>
      <c r="C10" s="111"/>
      <c r="D10" s="111"/>
      <c r="E10" s="111"/>
      <c r="F10" s="111"/>
      <c r="G10" s="112"/>
      <c r="H10" s="113"/>
      <c r="I10" s="113"/>
      <c r="J10" s="113"/>
      <c r="K10" s="113"/>
      <c r="L10" s="113"/>
      <c r="M10" s="113"/>
      <c r="N10" s="113"/>
      <c r="O10" s="114" t="n">
        <f aca="false">SUM(C10:N10)</f>
        <v>0</v>
      </c>
      <c r="P10" s="115" t="n">
        <f aca="false">SUM(C10:G10)</f>
        <v>0</v>
      </c>
    </row>
    <row r="11" customFormat="false" ht="15.75" hidden="false" customHeight="true" outlineLevel="0" collapsed="false">
      <c r="A11" s="116"/>
      <c r="B11" s="86" t="str">
        <f aca="false">IFERROR(VLOOKUP(A11,'EMP Employees'!$A:$B,2,0),"")</f>
        <v/>
      </c>
      <c r="C11" s="117"/>
      <c r="D11" s="117"/>
      <c r="E11" s="117"/>
      <c r="F11" s="117"/>
      <c r="G11" s="112"/>
      <c r="H11" s="118"/>
      <c r="I11" s="118"/>
      <c r="J11" s="118"/>
      <c r="K11" s="118"/>
      <c r="L11" s="118"/>
      <c r="M11" s="118"/>
      <c r="N11" s="118"/>
      <c r="O11" s="114" t="n">
        <f aca="false">SUM(C11:N11)</f>
        <v>0</v>
      </c>
      <c r="P11" s="115" t="n">
        <f aca="false">SUM(C11:G11)</f>
        <v>0</v>
      </c>
    </row>
    <row r="12" customFormat="false" ht="15.75" hidden="false" customHeight="true" outlineLevel="0" collapsed="false">
      <c r="A12" s="110"/>
      <c r="B12" s="78" t="str">
        <f aca="false">IFERROR(VLOOKUP(A12,'EMP Employees'!$A:$B,2,0),"")</f>
        <v/>
      </c>
      <c r="C12" s="111"/>
      <c r="D12" s="111"/>
      <c r="E12" s="111"/>
      <c r="F12" s="111"/>
      <c r="G12" s="112"/>
      <c r="H12" s="113"/>
      <c r="I12" s="113"/>
      <c r="J12" s="113"/>
      <c r="K12" s="113"/>
      <c r="L12" s="113"/>
      <c r="M12" s="113"/>
      <c r="N12" s="113"/>
      <c r="O12" s="114" t="n">
        <f aca="false">SUM(C12:N12)</f>
        <v>0</v>
      </c>
      <c r="P12" s="115" t="n">
        <f aca="false">SUM(C12:G12)</f>
        <v>0</v>
      </c>
    </row>
    <row r="13" customFormat="false" ht="15.75" hidden="false" customHeight="true" outlineLevel="0" collapsed="false">
      <c r="A13" s="116"/>
      <c r="B13" s="86" t="str">
        <f aca="false">IFERROR(VLOOKUP(A13,'EMP Employees'!$A:$B,2,0),"")</f>
        <v/>
      </c>
      <c r="C13" s="117"/>
      <c r="D13" s="117"/>
      <c r="E13" s="117"/>
      <c r="F13" s="117"/>
      <c r="G13" s="112"/>
      <c r="H13" s="118"/>
      <c r="I13" s="118"/>
      <c r="J13" s="118"/>
      <c r="K13" s="118"/>
      <c r="L13" s="118"/>
      <c r="M13" s="118"/>
      <c r="N13" s="118"/>
      <c r="O13" s="114" t="n">
        <f aca="false">SUM(C13:N13)</f>
        <v>0</v>
      </c>
      <c r="P13" s="115" t="n">
        <f aca="false">SUM(C13:G13)</f>
        <v>0</v>
      </c>
    </row>
    <row r="14" customFormat="false" ht="19.5" hidden="false" customHeight="true" outlineLevel="0" collapsed="false">
      <c r="A14" s="119" t="s">
        <v>115</v>
      </c>
      <c r="B14" s="120" t="str">
        <f aca="false">IFERROR(VLOOKUP(A14,'EMP Employees'!$A:$B,2,0),"")</f>
        <v/>
      </c>
      <c r="C14" s="121" t="n">
        <f aca="false">SUM(C4:C13)</f>
        <v>0</v>
      </c>
      <c r="D14" s="121" t="n">
        <f aca="false">SUM(D4:D13)</f>
        <v>0</v>
      </c>
      <c r="E14" s="121" t="n">
        <f aca="false">SUM(E4:E13)</f>
        <v>0</v>
      </c>
      <c r="F14" s="121" t="n">
        <f aca="false">SUM(F4:F13)</f>
        <v>0</v>
      </c>
      <c r="G14" s="121" t="n">
        <f aca="false">SUM(G4:G13)</f>
        <v>0</v>
      </c>
      <c r="H14" s="121" t="n">
        <f aca="false">SUM(H4:H13)</f>
        <v>0</v>
      </c>
      <c r="I14" s="121" t="n">
        <f aca="false">SUM(I4:I13)</f>
        <v>0</v>
      </c>
      <c r="J14" s="121" t="n">
        <f aca="false">SUM(J4:J13)</f>
        <v>0</v>
      </c>
      <c r="K14" s="121" t="n">
        <f aca="false">SUM(K4:K13)</f>
        <v>0</v>
      </c>
      <c r="L14" s="121" t="n">
        <f aca="false">SUM(L4:L13)</f>
        <v>0</v>
      </c>
      <c r="M14" s="121" t="n">
        <f aca="false">SUM(M4:M13)</f>
        <v>0</v>
      </c>
      <c r="N14" s="121" t="n">
        <f aca="false">SUM(N4:N13)</f>
        <v>0</v>
      </c>
      <c r="O14" s="114" t="n">
        <f aca="false">SUM(C14:N14)</f>
        <v>0</v>
      </c>
      <c r="P14" s="122" t="n">
        <f aca="false">SUM(P4:P13)</f>
        <v>0</v>
      </c>
    </row>
    <row r="15" customFormat="false" ht="15" hidden="false" customHeight="true" outlineLevel="0" collapsed="false">
      <c r="A15" s="95"/>
      <c r="B15" s="95" t="str">
        <f aca="false">IFERROR(VLOOKUP(A15,'EMP Employees'!$A:$B,2,0),"")</f>
        <v/>
      </c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114" t="n">
        <f aca="false">SUM(C15:N15)</f>
        <v>0</v>
      </c>
    </row>
    <row r="16" customFormat="false" ht="15.75" hidden="false" customHeight="true" outlineLevel="0" collapsed="false">
      <c r="A16" s="123" t="s">
        <v>248</v>
      </c>
      <c r="B16" s="1" t="str">
        <f aca="false">IFERROR(VLOOKUP(A16,'EMP Employees'!$A:$B,2,0),"")</f>
        <v/>
      </c>
      <c r="O16" s="114" t="n">
        <f aca="false">SUM(C16:N16)</f>
        <v>0</v>
      </c>
    </row>
    <row r="17" customFormat="false" ht="15" hidden="false" customHeight="true" outlineLevel="0" collapsed="false">
      <c r="A17" s="95"/>
      <c r="B17" s="95" t="str">
        <f aca="false">IFERROR(VLOOKUP(A17,'EMP Employees'!$A:$B,2,0),"")</f>
        <v/>
      </c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114" t="n">
        <f aca="false">SUM(C17:N17)</f>
        <v>0</v>
      </c>
    </row>
    <row r="18" customFormat="false" ht="15" hidden="false" customHeight="true" outlineLevel="0" collapsed="false">
      <c r="A18" s="95"/>
      <c r="B18" s="95" t="str">
        <f aca="false">IFERROR(VLOOKUP(A18,'EMP Employees'!$A:$B,2,0),"")</f>
        <v/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114" t="n">
        <f aca="false">SUM(C18:N18)</f>
        <v>0</v>
      </c>
    </row>
    <row r="19" customFormat="false" ht="15" hidden="false" customHeight="true" outlineLevel="0" collapsed="false">
      <c r="A19" s="95"/>
      <c r="B19" s="95" t="str">
        <f aca="false">IFERROR(VLOOKUP(A19,'EMP Employees'!$A:$B,2,0),"")</f>
        <v/>
      </c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114" t="n">
        <f aca="false">SUM(C19:N19)</f>
        <v>0</v>
      </c>
    </row>
    <row r="20" customFormat="false" ht="15" hidden="false" customHeight="true" outlineLevel="0" collapsed="false">
      <c r="A20" s="95"/>
      <c r="B20" s="95" t="str">
        <f aca="false">IFERROR(VLOOKUP(A20,'EMP Employees'!$A:$B,2,0),"")</f>
        <v/>
      </c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114" t="n">
        <f aca="false">SUM(C20:N20)</f>
        <v>0</v>
      </c>
    </row>
  </sheetData>
  <sheetProtection sheet="true" password="dd98" formatColumns="false" formatRows="false" sort="false" autoFilter="false"/>
  <dataValidations count="1">
    <dataValidation allowBlank="true" errorStyle="stop" operator="between" showDropDown="false" showErrorMessage="false" showInputMessage="false" sqref="A4:A20" type="list">
      <formula1>'EMP Employees'!$A$3:$A$52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8"/>
    <col collapsed="false" customWidth="true" hidden="false" outlineLevel="0" max="4" min="4" style="1" width="10"/>
    <col collapsed="false" customWidth="true" hidden="false" outlineLevel="0" max="5" min="5" style="1" width="18"/>
    <col collapsed="false" customWidth="true" hidden="false" outlineLevel="0" max="7" min="6" style="1" width="16"/>
    <col collapsed="false" customWidth="true" hidden="false" outlineLevel="0" max="8" min="8" style="1" width="28"/>
  </cols>
  <sheetData>
    <row r="1" customFormat="false" ht="30" hidden="false" customHeight="true" outlineLevel="0" collapsed="false">
      <c r="A1" s="25" t="s">
        <v>249</v>
      </c>
      <c r="B1" s="25"/>
      <c r="C1" s="25"/>
      <c r="D1" s="25"/>
      <c r="E1" s="25"/>
      <c r="F1" s="25"/>
      <c r="G1" s="25"/>
      <c r="H1" s="25"/>
    </row>
    <row r="2" customFormat="false" ht="15.75" hidden="false" customHeight="true" outlineLevel="0" collapsed="false">
      <c r="A2" s="124" t="s">
        <v>250</v>
      </c>
      <c r="B2" s="124"/>
      <c r="C2" s="124"/>
      <c r="D2" s="124"/>
      <c r="E2" s="124"/>
      <c r="F2" s="124"/>
      <c r="G2" s="124"/>
      <c r="H2" s="124"/>
    </row>
    <row r="3" customFormat="false" ht="19.5" hidden="false" customHeight="true" outlineLevel="0" collapsed="false">
      <c r="A3" s="109" t="s">
        <v>251</v>
      </c>
      <c r="B3" s="109" t="s">
        <v>252</v>
      </c>
      <c r="C3" s="109" t="s">
        <v>253</v>
      </c>
      <c r="D3" s="109" t="s">
        <v>74</v>
      </c>
      <c r="E3" s="109" t="s">
        <v>254</v>
      </c>
      <c r="F3" s="109" t="s">
        <v>255</v>
      </c>
      <c r="G3" s="109" t="s">
        <v>256</v>
      </c>
      <c r="H3" s="109" t="s">
        <v>257</v>
      </c>
    </row>
    <row r="4" customFormat="false" ht="15.75" hidden="false" customHeight="true" outlineLevel="0" collapsed="false">
      <c r="A4" s="125"/>
      <c r="B4" s="78"/>
      <c r="C4" s="78"/>
      <c r="D4" s="78"/>
      <c r="E4" s="78"/>
      <c r="F4" s="78"/>
      <c r="G4" s="78"/>
      <c r="H4" s="78"/>
    </row>
    <row r="5" customFormat="false" ht="15.75" hidden="false" customHeight="true" outlineLevel="0" collapsed="false">
      <c r="A5" s="126"/>
      <c r="B5" s="86"/>
      <c r="C5" s="86"/>
      <c r="D5" s="86"/>
      <c r="E5" s="86"/>
      <c r="F5" s="86"/>
      <c r="G5" s="86"/>
      <c r="H5" s="86"/>
    </row>
    <row r="6" customFormat="false" ht="15.75" hidden="false" customHeight="true" outlineLevel="0" collapsed="false">
      <c r="A6" s="125"/>
      <c r="B6" s="78"/>
      <c r="C6" s="78"/>
      <c r="D6" s="78"/>
      <c r="E6" s="78"/>
      <c r="F6" s="78"/>
      <c r="G6" s="78"/>
      <c r="H6" s="78"/>
    </row>
    <row r="7" customFormat="false" ht="15.75" hidden="false" customHeight="true" outlineLevel="0" collapsed="false">
      <c r="A7" s="127"/>
      <c r="B7" s="127"/>
      <c r="C7" s="127"/>
      <c r="D7" s="127"/>
      <c r="E7" s="127"/>
      <c r="F7" s="127"/>
      <c r="G7" s="127"/>
      <c r="H7" s="127"/>
    </row>
    <row r="8" customFormat="false" ht="15.75" hidden="false" customHeight="true" outlineLevel="0" collapsed="false">
      <c r="A8" s="128"/>
      <c r="B8" s="128"/>
      <c r="C8" s="128"/>
      <c r="D8" s="128"/>
      <c r="E8" s="128"/>
      <c r="F8" s="128"/>
      <c r="G8" s="128"/>
      <c r="H8" s="128"/>
    </row>
    <row r="9" customFormat="false" ht="15.75" hidden="false" customHeight="true" outlineLevel="0" collapsed="false">
      <c r="A9" s="127"/>
      <c r="B9" s="127"/>
      <c r="C9" s="127"/>
      <c r="D9" s="127"/>
      <c r="E9" s="127"/>
      <c r="F9" s="127"/>
      <c r="G9" s="127"/>
      <c r="H9" s="127"/>
    </row>
    <row r="10" customFormat="false" ht="15.75" hidden="false" customHeight="true" outlineLevel="0" collapsed="false">
      <c r="A10" s="128"/>
      <c r="B10" s="128"/>
      <c r="C10" s="128"/>
      <c r="D10" s="128"/>
      <c r="E10" s="128"/>
      <c r="F10" s="128"/>
      <c r="G10" s="128"/>
      <c r="H10" s="128"/>
    </row>
    <row r="11" customFormat="false" ht="15.75" hidden="false" customHeight="true" outlineLevel="0" collapsed="false">
      <c r="A11" s="127"/>
      <c r="B11" s="127"/>
      <c r="C11" s="127"/>
      <c r="D11" s="127"/>
      <c r="E11" s="127"/>
      <c r="F11" s="127"/>
      <c r="G11" s="127"/>
      <c r="H11" s="127"/>
    </row>
    <row r="12" customFormat="false" ht="15.75" hidden="false" customHeight="true" outlineLevel="0" collapsed="false">
      <c r="A12" s="128"/>
      <c r="B12" s="128"/>
      <c r="C12" s="128"/>
      <c r="D12" s="128"/>
      <c r="E12" s="128"/>
      <c r="F12" s="128"/>
      <c r="G12" s="128"/>
      <c r="H12" s="128"/>
    </row>
    <row r="13" customFormat="false" ht="15.75" hidden="false" customHeight="true" outlineLevel="0" collapsed="false">
      <c r="A13" s="127"/>
      <c r="B13" s="127"/>
      <c r="C13" s="127"/>
      <c r="D13" s="127"/>
      <c r="E13" s="127"/>
      <c r="F13" s="127"/>
      <c r="G13" s="127"/>
      <c r="H13" s="127"/>
    </row>
    <row r="14" customFormat="false" ht="15.75" hidden="false" customHeight="true" outlineLevel="0" collapsed="false">
      <c r="A14" s="128"/>
      <c r="B14" s="128"/>
      <c r="C14" s="128"/>
      <c r="D14" s="128"/>
      <c r="E14" s="128"/>
      <c r="F14" s="128"/>
      <c r="G14" s="128"/>
      <c r="H14" s="128"/>
    </row>
    <row r="15" customFormat="false" ht="15.75" hidden="false" customHeight="true" outlineLevel="0" collapsed="false">
      <c r="A15" s="127"/>
      <c r="B15" s="127"/>
      <c r="C15" s="127"/>
      <c r="D15" s="127"/>
      <c r="E15" s="127"/>
      <c r="F15" s="127"/>
      <c r="G15" s="127"/>
      <c r="H15" s="127"/>
    </row>
    <row r="16" customFormat="false" ht="15.75" hidden="false" customHeight="true" outlineLevel="0" collapsed="false">
      <c r="A16" s="128"/>
      <c r="B16" s="128"/>
      <c r="C16" s="128"/>
      <c r="D16" s="128"/>
      <c r="E16" s="128"/>
      <c r="F16" s="128"/>
      <c r="G16" s="128"/>
      <c r="H16" s="128"/>
    </row>
    <row r="17" customFormat="false" ht="15.75" hidden="false" customHeight="true" outlineLevel="0" collapsed="false">
      <c r="A17" s="127"/>
      <c r="B17" s="127"/>
      <c r="C17" s="127"/>
      <c r="D17" s="127"/>
      <c r="E17" s="127"/>
      <c r="F17" s="127"/>
      <c r="G17" s="127"/>
      <c r="H17" s="127"/>
    </row>
    <row r="18" customFormat="false" ht="15.75" hidden="false" customHeight="true" outlineLevel="0" collapsed="false">
      <c r="A18" s="128"/>
      <c r="B18" s="128"/>
      <c r="C18" s="128"/>
      <c r="D18" s="128"/>
      <c r="E18" s="128"/>
      <c r="F18" s="128"/>
      <c r="G18" s="128"/>
      <c r="H18" s="128"/>
    </row>
    <row r="19" customFormat="false" ht="15.75" hidden="false" customHeight="true" outlineLevel="0" collapsed="false">
      <c r="A19" s="127"/>
      <c r="B19" s="127"/>
      <c r="C19" s="127"/>
      <c r="D19" s="127"/>
      <c r="E19" s="127"/>
      <c r="F19" s="127"/>
      <c r="G19" s="127"/>
      <c r="H19" s="127"/>
    </row>
    <row r="20" customFormat="false" ht="15.75" hidden="false" customHeight="true" outlineLevel="0" collapsed="false">
      <c r="A20" s="128"/>
      <c r="B20" s="128"/>
      <c r="C20" s="128"/>
      <c r="D20" s="128"/>
      <c r="E20" s="128"/>
      <c r="F20" s="128"/>
      <c r="G20" s="128"/>
      <c r="H20" s="128"/>
    </row>
    <row r="21" customFormat="false" ht="15.75" hidden="false" customHeight="true" outlineLevel="0" collapsed="false">
      <c r="A21" s="127"/>
      <c r="B21" s="127"/>
      <c r="C21" s="127"/>
      <c r="D21" s="127"/>
      <c r="E21" s="127"/>
      <c r="F21" s="127"/>
      <c r="G21" s="127"/>
      <c r="H21" s="127"/>
    </row>
    <row r="22" customFormat="false" ht="15.75" hidden="false" customHeight="true" outlineLevel="0" collapsed="false">
      <c r="A22" s="128"/>
      <c r="B22" s="128"/>
      <c r="C22" s="128"/>
      <c r="D22" s="128"/>
      <c r="E22" s="128"/>
      <c r="F22" s="128"/>
      <c r="G22" s="128"/>
      <c r="H22" s="128"/>
    </row>
    <row r="23" customFormat="false" ht="15.75" hidden="false" customHeight="true" outlineLevel="0" collapsed="false">
      <c r="A23" s="127"/>
      <c r="B23" s="127"/>
      <c r="C23" s="127"/>
      <c r="D23" s="127"/>
      <c r="E23" s="127"/>
      <c r="F23" s="127"/>
      <c r="G23" s="127"/>
      <c r="H23" s="127"/>
    </row>
    <row r="24" customFormat="false" ht="15.75" hidden="false" customHeight="true" outlineLevel="0" collapsed="false">
      <c r="A24" s="128"/>
      <c r="B24" s="128"/>
      <c r="C24" s="128"/>
      <c r="D24" s="128"/>
      <c r="E24" s="128"/>
      <c r="F24" s="128"/>
      <c r="G24" s="128"/>
      <c r="H24" s="128"/>
    </row>
    <row r="25" customFormat="false" ht="15.75" hidden="false" customHeight="true" outlineLevel="0" collapsed="false">
      <c r="A25" s="127"/>
      <c r="B25" s="127"/>
      <c r="C25" s="127"/>
      <c r="D25" s="127"/>
      <c r="E25" s="127"/>
      <c r="F25" s="127"/>
      <c r="G25" s="127"/>
      <c r="H25" s="127"/>
    </row>
    <row r="26" customFormat="false" ht="15.75" hidden="false" customHeight="true" outlineLevel="0" collapsed="false">
      <c r="A26" s="128"/>
      <c r="B26" s="128"/>
      <c r="C26" s="128"/>
      <c r="D26" s="128"/>
      <c r="E26" s="128"/>
      <c r="F26" s="128"/>
      <c r="G26" s="128"/>
      <c r="H26" s="128"/>
    </row>
    <row r="27" customFormat="false" ht="15.75" hidden="false" customHeight="true" outlineLevel="0" collapsed="false">
      <c r="A27" s="127"/>
      <c r="B27" s="127"/>
      <c r="C27" s="127"/>
      <c r="D27" s="127"/>
      <c r="E27" s="127"/>
      <c r="F27" s="127"/>
      <c r="G27" s="127"/>
      <c r="H27" s="127"/>
    </row>
    <row r="28" customFormat="false" ht="15.75" hidden="false" customHeight="true" outlineLevel="0" collapsed="false">
      <c r="A28" s="128"/>
      <c r="B28" s="128"/>
      <c r="C28" s="128"/>
      <c r="D28" s="128"/>
      <c r="E28" s="128"/>
      <c r="F28" s="128"/>
      <c r="G28" s="128"/>
      <c r="H28" s="128"/>
    </row>
    <row r="29" customFormat="false" ht="15.75" hidden="false" customHeight="true" outlineLevel="0" collapsed="false">
      <c r="A29" s="127"/>
      <c r="B29" s="127"/>
      <c r="C29" s="127"/>
      <c r="D29" s="127"/>
      <c r="E29" s="127"/>
      <c r="F29" s="127"/>
      <c r="G29" s="127"/>
      <c r="H29" s="127"/>
    </row>
    <row r="30" customFormat="false" ht="15.75" hidden="false" customHeight="true" outlineLevel="0" collapsed="false">
      <c r="A30" s="128"/>
      <c r="B30" s="128"/>
      <c r="C30" s="128"/>
      <c r="D30" s="128"/>
      <c r="E30" s="128"/>
      <c r="F30" s="128"/>
      <c r="G30" s="128"/>
      <c r="H30" s="128"/>
    </row>
    <row r="31" customFormat="false" ht="15.75" hidden="false" customHeight="true" outlineLevel="0" collapsed="false">
      <c r="A31" s="127"/>
      <c r="B31" s="127"/>
      <c r="C31" s="127"/>
      <c r="D31" s="127"/>
      <c r="E31" s="127"/>
      <c r="F31" s="127"/>
      <c r="G31" s="127"/>
      <c r="H31" s="127"/>
    </row>
    <row r="32" customFormat="false" ht="15.75" hidden="false" customHeight="true" outlineLevel="0" collapsed="false">
      <c r="A32" s="128"/>
      <c r="B32" s="128"/>
      <c r="C32" s="128"/>
      <c r="D32" s="128"/>
      <c r="E32" s="128"/>
      <c r="F32" s="128"/>
      <c r="G32" s="128"/>
      <c r="H32" s="128"/>
    </row>
    <row r="33" customFormat="false" ht="15.75" hidden="false" customHeight="true" outlineLevel="0" collapsed="false">
      <c r="A33" s="127"/>
      <c r="B33" s="127"/>
      <c r="C33" s="127"/>
      <c r="D33" s="127"/>
      <c r="E33" s="127"/>
      <c r="F33" s="127"/>
      <c r="G33" s="127"/>
      <c r="H33" s="127"/>
    </row>
    <row r="34" customFormat="false" ht="15.75" hidden="false" customHeight="true" outlineLevel="0" collapsed="false">
      <c r="A34" s="128"/>
      <c r="B34" s="128"/>
      <c r="C34" s="128"/>
      <c r="D34" s="128"/>
      <c r="E34" s="128"/>
      <c r="F34" s="128"/>
      <c r="G34" s="128"/>
      <c r="H34" s="128"/>
    </row>
    <row r="35" customFormat="false" ht="15.75" hidden="false" customHeight="true" outlineLevel="0" collapsed="false">
      <c r="A35" s="127"/>
      <c r="B35" s="127"/>
      <c r="C35" s="127"/>
      <c r="D35" s="127"/>
      <c r="E35" s="127"/>
      <c r="F35" s="127"/>
      <c r="G35" s="127"/>
      <c r="H35" s="127"/>
    </row>
    <row r="36" customFormat="false" ht="15.75" hidden="false" customHeight="true" outlineLevel="0" collapsed="false">
      <c r="A36" s="128"/>
      <c r="B36" s="128"/>
      <c r="C36" s="128"/>
      <c r="D36" s="128"/>
      <c r="E36" s="128"/>
      <c r="F36" s="128"/>
      <c r="G36" s="128"/>
      <c r="H36" s="128"/>
    </row>
    <row r="37" customFormat="false" ht="15.75" hidden="false" customHeight="true" outlineLevel="0" collapsed="false">
      <c r="A37" s="127"/>
      <c r="B37" s="127"/>
      <c r="C37" s="127"/>
      <c r="D37" s="127"/>
      <c r="E37" s="127"/>
      <c r="F37" s="127"/>
      <c r="G37" s="127"/>
      <c r="H37" s="127"/>
    </row>
    <row r="38" customFormat="false" ht="15.75" hidden="false" customHeight="true" outlineLevel="0" collapsed="false">
      <c r="A38" s="128"/>
      <c r="B38" s="128"/>
      <c r="C38" s="128"/>
      <c r="D38" s="128"/>
      <c r="E38" s="128"/>
      <c r="F38" s="128"/>
      <c r="G38" s="128"/>
      <c r="H38" s="128"/>
    </row>
    <row r="39" customFormat="false" ht="15.75" hidden="false" customHeight="true" outlineLevel="0" collapsed="false">
      <c r="A39" s="127"/>
      <c r="B39" s="127"/>
      <c r="C39" s="127"/>
      <c r="D39" s="127"/>
      <c r="E39" s="127"/>
      <c r="F39" s="127"/>
      <c r="G39" s="127"/>
      <c r="H39" s="127"/>
    </row>
    <row r="40" customFormat="false" ht="15.75" hidden="false" customHeight="true" outlineLevel="0" collapsed="false">
      <c r="A40" s="128"/>
      <c r="B40" s="128"/>
      <c r="C40" s="128"/>
      <c r="D40" s="128"/>
      <c r="E40" s="128"/>
      <c r="F40" s="128"/>
      <c r="G40" s="128"/>
      <c r="H40" s="128"/>
    </row>
    <row r="41" customFormat="false" ht="15.75" hidden="false" customHeight="true" outlineLevel="0" collapsed="false">
      <c r="A41" s="127"/>
      <c r="B41" s="127"/>
      <c r="C41" s="127"/>
      <c r="D41" s="127"/>
      <c r="E41" s="127"/>
      <c r="F41" s="127"/>
      <c r="G41" s="127"/>
      <c r="H41" s="127"/>
    </row>
    <row r="42" customFormat="false" ht="15.75" hidden="false" customHeight="true" outlineLevel="0" collapsed="false">
      <c r="A42" s="128"/>
      <c r="B42" s="128"/>
      <c r="C42" s="128"/>
      <c r="D42" s="128"/>
      <c r="E42" s="128"/>
      <c r="F42" s="128"/>
      <c r="G42" s="128"/>
      <c r="H42" s="128"/>
    </row>
    <row r="43" customFormat="false" ht="15.75" hidden="false" customHeight="true" outlineLevel="0" collapsed="false">
      <c r="A43" s="127"/>
      <c r="B43" s="127"/>
      <c r="C43" s="127"/>
      <c r="D43" s="127"/>
      <c r="E43" s="127"/>
      <c r="F43" s="127"/>
      <c r="G43" s="127"/>
      <c r="H43" s="127"/>
    </row>
    <row r="44" customFormat="false" ht="15.75" hidden="false" customHeight="true" outlineLevel="0" collapsed="false">
      <c r="A44" s="128"/>
      <c r="B44" s="128"/>
      <c r="C44" s="128"/>
      <c r="D44" s="128"/>
      <c r="E44" s="128"/>
      <c r="F44" s="128"/>
      <c r="G44" s="128"/>
      <c r="H44" s="128"/>
    </row>
    <row r="45" customFormat="false" ht="15.75" hidden="false" customHeight="true" outlineLevel="0" collapsed="false">
      <c r="A45" s="127"/>
      <c r="B45" s="127"/>
      <c r="C45" s="127"/>
      <c r="D45" s="127"/>
      <c r="E45" s="127"/>
      <c r="F45" s="127"/>
      <c r="G45" s="127"/>
      <c r="H45" s="127"/>
    </row>
    <row r="46" customFormat="false" ht="15.75" hidden="false" customHeight="true" outlineLevel="0" collapsed="false">
      <c r="A46" s="128"/>
      <c r="B46" s="128"/>
      <c r="C46" s="128"/>
      <c r="D46" s="128"/>
      <c r="E46" s="128"/>
      <c r="F46" s="128"/>
      <c r="G46" s="128"/>
      <c r="H46" s="128"/>
    </row>
    <row r="47" customFormat="false" ht="15.75" hidden="false" customHeight="true" outlineLevel="0" collapsed="false">
      <c r="A47" s="127"/>
      <c r="B47" s="127"/>
      <c r="C47" s="127"/>
      <c r="D47" s="127"/>
      <c r="E47" s="127"/>
      <c r="F47" s="127"/>
      <c r="G47" s="127"/>
      <c r="H47" s="127"/>
    </row>
    <row r="48" customFormat="false" ht="15.75" hidden="false" customHeight="true" outlineLevel="0" collapsed="false">
      <c r="A48" s="128"/>
      <c r="B48" s="128"/>
      <c r="C48" s="128"/>
      <c r="D48" s="128"/>
      <c r="E48" s="128"/>
      <c r="F48" s="128"/>
      <c r="G48" s="128"/>
      <c r="H48" s="128"/>
    </row>
    <row r="49" customFormat="false" ht="15.75" hidden="false" customHeight="true" outlineLevel="0" collapsed="false">
      <c r="A49" s="127"/>
      <c r="B49" s="127"/>
      <c r="C49" s="127"/>
      <c r="D49" s="127"/>
      <c r="E49" s="127"/>
      <c r="F49" s="127"/>
      <c r="G49" s="127"/>
      <c r="H49" s="127"/>
    </row>
    <row r="50" customFormat="false" ht="15.75" hidden="false" customHeight="true" outlineLevel="0" collapsed="false">
      <c r="A50" s="128"/>
      <c r="B50" s="128"/>
      <c r="C50" s="128"/>
      <c r="D50" s="128"/>
      <c r="E50" s="128"/>
      <c r="F50" s="128"/>
      <c r="G50" s="128"/>
      <c r="H50" s="128"/>
    </row>
    <row r="51" customFormat="false" ht="15.75" hidden="false" customHeight="true" outlineLevel="0" collapsed="false">
      <c r="A51" s="127"/>
      <c r="B51" s="127"/>
      <c r="C51" s="127"/>
      <c r="D51" s="127"/>
      <c r="E51" s="127"/>
      <c r="F51" s="127"/>
      <c r="G51" s="127"/>
      <c r="H51" s="127"/>
    </row>
    <row r="52" customFormat="false" ht="15" hidden="false" customHeight="true" outlineLevel="0" collapsed="false">
      <c r="A52" s="95"/>
      <c r="B52" s="95"/>
      <c r="C52" s="95"/>
      <c r="D52" s="95"/>
      <c r="E52" s="95"/>
      <c r="F52" s="95"/>
      <c r="G52" s="95"/>
      <c r="H52" s="95"/>
    </row>
    <row r="53" customFormat="false" ht="15" hidden="false" customHeight="true" outlineLevel="0" collapsed="false">
      <c r="A53" s="95"/>
      <c r="B53" s="95"/>
      <c r="C53" s="95"/>
      <c r="D53" s="95"/>
      <c r="E53" s="95"/>
      <c r="F53" s="95"/>
      <c r="G53" s="95"/>
      <c r="H53" s="95"/>
    </row>
    <row r="54" customFormat="false" ht="15" hidden="false" customHeight="true" outlineLevel="0" collapsed="false">
      <c r="A54" s="95"/>
      <c r="B54" s="95"/>
      <c r="C54" s="95"/>
      <c r="D54" s="95"/>
      <c r="E54" s="95"/>
      <c r="F54" s="95"/>
      <c r="G54" s="95"/>
      <c r="H54" s="95"/>
    </row>
    <row r="55" customFormat="false" ht="15" hidden="false" customHeight="true" outlineLevel="0" collapsed="false">
      <c r="A55" s="95"/>
      <c r="B55" s="95"/>
      <c r="C55" s="95"/>
      <c r="D55" s="95"/>
      <c r="E55" s="95"/>
      <c r="F55" s="95"/>
      <c r="G55" s="95"/>
      <c r="H55" s="95"/>
    </row>
    <row r="56" customFormat="false" ht="15" hidden="false" customHeight="true" outlineLevel="0" collapsed="false">
      <c r="A56" s="95"/>
      <c r="B56" s="95"/>
      <c r="C56" s="95"/>
      <c r="D56" s="95"/>
      <c r="E56" s="95"/>
      <c r="F56" s="95"/>
      <c r="G56" s="95"/>
      <c r="H56" s="95"/>
    </row>
    <row r="57" customFormat="false" ht="15" hidden="false" customHeight="true" outlineLevel="0" collapsed="false">
      <c r="A57" s="95"/>
      <c r="B57" s="95"/>
      <c r="C57" s="95"/>
      <c r="D57" s="95"/>
      <c r="E57" s="95"/>
      <c r="F57" s="95"/>
      <c r="G57" s="95"/>
      <c r="H57" s="95"/>
    </row>
    <row r="58" customFormat="false" ht="15" hidden="false" customHeight="true" outlineLevel="0" collapsed="false">
      <c r="A58" s="95"/>
      <c r="B58" s="95"/>
      <c r="C58" s="95"/>
      <c r="D58" s="95"/>
      <c r="E58" s="95"/>
      <c r="F58" s="95"/>
      <c r="G58" s="95"/>
      <c r="H58" s="95"/>
    </row>
    <row r="59" customFormat="false" ht="15" hidden="false" customHeight="true" outlineLevel="0" collapsed="false">
      <c r="A59" s="95"/>
      <c r="B59" s="95"/>
      <c r="C59" s="95"/>
      <c r="D59" s="95"/>
      <c r="E59" s="95"/>
      <c r="F59" s="95"/>
      <c r="G59" s="95"/>
      <c r="H59" s="95"/>
    </row>
    <row r="60" customFormat="false" ht="15" hidden="false" customHeight="true" outlineLevel="0" collapsed="false">
      <c r="A60" s="95"/>
      <c r="B60" s="95"/>
      <c r="C60" s="95"/>
      <c r="D60" s="95"/>
      <c r="E60" s="95"/>
      <c r="F60" s="95"/>
      <c r="G60" s="95"/>
      <c r="H60" s="95"/>
    </row>
  </sheetData>
  <sheetProtection sheet="true" formatColumns="false" formatRows="false" sort="false" autoFilter="fals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22"/>
    <col collapsed="false" customWidth="true" hidden="false" outlineLevel="0" max="4" min="4" style="1" width="28"/>
    <col collapsed="false" customWidth="true" hidden="false" outlineLevel="0" max="5" min="5" style="1" width="18"/>
    <col collapsed="false" customWidth="true" hidden="false" outlineLevel="0" max="6" min="6" style="1" width="22"/>
  </cols>
  <sheetData>
    <row r="1" customFormat="false" ht="30" hidden="false" customHeight="true" outlineLevel="0" collapsed="false">
      <c r="A1" s="13" t="s">
        <v>258</v>
      </c>
      <c r="B1" s="13"/>
      <c r="C1" s="13"/>
      <c r="D1" s="13"/>
      <c r="E1" s="13"/>
      <c r="F1" s="13"/>
    </row>
    <row r="2" customFormat="false" ht="15.75" hidden="false" customHeight="true" outlineLevel="0" collapsed="false">
      <c r="A2" s="129" t="s">
        <v>259</v>
      </c>
      <c r="B2" s="129"/>
      <c r="C2" s="129"/>
      <c r="D2" s="129"/>
      <c r="E2" s="129"/>
      <c r="F2" s="129"/>
    </row>
    <row r="4" customFormat="false" ht="21.75" hidden="false" customHeight="true" outlineLevel="0" collapsed="false">
      <c r="A4" s="130" t="s">
        <v>260</v>
      </c>
      <c r="B4" s="130"/>
      <c r="C4" s="130"/>
      <c r="D4" s="130"/>
      <c r="E4" s="130"/>
      <c r="F4" s="130"/>
    </row>
    <row r="5" customFormat="false" ht="15" hidden="false" customHeight="true" outlineLevel="0" collapsed="false">
      <c r="A5" s="131" t="s">
        <v>261</v>
      </c>
      <c r="B5" s="131" t="s">
        <v>262</v>
      </c>
      <c r="C5" s="131" t="s">
        <v>263</v>
      </c>
      <c r="D5" s="131" t="s">
        <v>264</v>
      </c>
      <c r="E5" s="131" t="s">
        <v>265</v>
      </c>
    </row>
    <row r="6" customFormat="false" ht="15" hidden="false" customHeight="true" outlineLevel="0" collapsed="false">
      <c r="A6" s="132" t="n">
        <v>0</v>
      </c>
      <c r="B6" s="132" t="n">
        <v>50000</v>
      </c>
      <c r="C6" s="133" t="n">
        <v>0</v>
      </c>
      <c r="D6" s="132" t="n">
        <v>0</v>
      </c>
      <c r="E6" s="134" t="s">
        <v>266</v>
      </c>
    </row>
    <row r="7" customFormat="false" ht="15" hidden="false" customHeight="true" outlineLevel="0" collapsed="false">
      <c r="A7" s="135" t="n">
        <v>50001</v>
      </c>
      <c r="B7" s="135" t="n">
        <v>100000</v>
      </c>
      <c r="C7" s="136" t="n">
        <v>18</v>
      </c>
      <c r="D7" s="135" t="n">
        <v>0</v>
      </c>
      <c r="E7" s="137" t="s">
        <v>267</v>
      </c>
    </row>
    <row r="8" customFormat="false" ht="15" hidden="false" customHeight="true" outlineLevel="0" collapsed="false">
      <c r="A8" s="132" t="n">
        <v>100001</v>
      </c>
      <c r="B8" s="132" t="n">
        <v>300000</v>
      </c>
      <c r="C8" s="133" t="n">
        <v>25</v>
      </c>
      <c r="D8" s="132" t="n">
        <v>9000</v>
      </c>
      <c r="E8" s="134" t="s">
        <v>268</v>
      </c>
    </row>
    <row r="9" customFormat="false" ht="15" hidden="false" customHeight="true" outlineLevel="0" collapsed="false">
      <c r="A9" s="135" t="n">
        <v>300001</v>
      </c>
      <c r="B9" s="135" t="n">
        <v>500000</v>
      </c>
      <c r="C9" s="136" t="n">
        <v>28</v>
      </c>
      <c r="D9" s="135" t="n">
        <v>59000</v>
      </c>
      <c r="E9" s="137" t="s">
        <v>269</v>
      </c>
    </row>
    <row r="10" customFormat="false" ht="15" hidden="false" customHeight="true" outlineLevel="0" collapsed="false">
      <c r="A10" s="132" t="n">
        <v>500001</v>
      </c>
      <c r="B10" s="132" t="n">
        <v>800000</v>
      </c>
      <c r="C10" s="133" t="n">
        <v>30</v>
      </c>
      <c r="D10" s="132" t="n">
        <v>115000</v>
      </c>
      <c r="E10" s="134" t="s">
        <v>270</v>
      </c>
    </row>
    <row r="11" customFormat="false" ht="15" hidden="false" customHeight="true" outlineLevel="0" collapsed="false">
      <c r="A11" s="135" t="n">
        <v>800001</v>
      </c>
      <c r="B11" s="135" t="n">
        <v>1500000</v>
      </c>
      <c r="C11" s="136" t="n">
        <v>32</v>
      </c>
      <c r="D11" s="135" t="n">
        <v>205000</v>
      </c>
      <c r="E11" s="137" t="s">
        <v>271</v>
      </c>
    </row>
    <row r="12" customFormat="false" ht="15" hidden="false" customHeight="true" outlineLevel="0" collapsed="false">
      <c r="A12" s="132" t="n">
        <v>1500001</v>
      </c>
      <c r="B12" s="132" t="n">
        <v>999999999</v>
      </c>
      <c r="C12" s="133" t="n">
        <v>37</v>
      </c>
      <c r="D12" s="132" t="n">
        <v>429000</v>
      </c>
      <c r="E12" s="134" t="s">
        <v>272</v>
      </c>
    </row>
    <row r="14" customFormat="false" ht="21.75" hidden="false" customHeight="true" outlineLevel="0" collapsed="false">
      <c r="A14" s="130" t="s">
        <v>273</v>
      </c>
      <c r="B14" s="130"/>
      <c r="C14" s="130"/>
      <c r="D14" s="130"/>
    </row>
    <row r="15" customFormat="false" ht="15" hidden="false" customHeight="true" outlineLevel="0" collapsed="false">
      <c r="A15" s="131" t="s">
        <v>274</v>
      </c>
      <c r="B15" s="131" t="s">
        <v>275</v>
      </c>
      <c r="C15" s="131" t="s">
        <v>276</v>
      </c>
      <c r="D15" s="131" t="s">
        <v>206</v>
      </c>
    </row>
    <row r="16" customFormat="false" ht="15" hidden="false" customHeight="true" outlineLevel="0" collapsed="false">
      <c r="A16" s="138" t="s">
        <v>277</v>
      </c>
      <c r="B16" s="133" t="n">
        <v>0.009</v>
      </c>
      <c r="C16" s="138" t="s">
        <v>278</v>
      </c>
      <c r="D16" s="138" t="s">
        <v>279</v>
      </c>
    </row>
    <row r="17" customFormat="false" ht="15" hidden="false" customHeight="true" outlineLevel="0" collapsed="false">
      <c r="A17" s="139" t="s">
        <v>280</v>
      </c>
      <c r="B17" s="136" t="n">
        <v>0.009</v>
      </c>
      <c r="C17" s="139" t="s">
        <v>278</v>
      </c>
      <c r="D17" s="139" t="s">
        <v>279</v>
      </c>
    </row>
    <row r="18" customFormat="false" ht="15" hidden="false" customHeight="true" outlineLevel="0" collapsed="false">
      <c r="A18" s="138" t="s">
        <v>281</v>
      </c>
      <c r="B18" s="140" t="n">
        <v>81</v>
      </c>
      <c r="C18" s="138" t="s">
        <v>282</v>
      </c>
      <c r="D18" s="138" t="s">
        <v>283</v>
      </c>
    </row>
    <row r="19" customFormat="false" ht="15" hidden="false" customHeight="true" outlineLevel="0" collapsed="false">
      <c r="A19" s="139" t="s">
        <v>284</v>
      </c>
      <c r="B19" s="141" t="n">
        <v>81</v>
      </c>
      <c r="C19" s="139" t="s">
        <v>282</v>
      </c>
      <c r="D19" s="139" t="s">
        <v>285</v>
      </c>
    </row>
    <row r="20" customFormat="false" ht="15" hidden="false" customHeight="true" outlineLevel="0" collapsed="false">
      <c r="A20" s="138" t="s">
        <v>286</v>
      </c>
      <c r="B20" s="142" t="s">
        <v>166</v>
      </c>
      <c r="C20" s="138" t="s">
        <v>287</v>
      </c>
      <c r="D20" s="138" t="s">
        <v>288</v>
      </c>
    </row>
    <row r="22" customFormat="false" ht="21.75" hidden="false" customHeight="true" outlineLevel="0" collapsed="false">
      <c r="A22" s="130" t="s">
        <v>289</v>
      </c>
      <c r="B22" s="130"/>
      <c r="C22" s="130"/>
      <c r="D22" s="130"/>
    </row>
    <row r="23" customFormat="false" ht="15" hidden="false" customHeight="true" outlineLevel="0" collapsed="false">
      <c r="A23" s="143" t="s">
        <v>290</v>
      </c>
      <c r="B23" s="144" t="s">
        <v>291</v>
      </c>
      <c r="C23" s="145" t="s">
        <v>292</v>
      </c>
      <c r="D23" s="145"/>
    </row>
    <row r="24" customFormat="false" ht="15" hidden="false" customHeight="true" outlineLevel="0" collapsed="false">
      <c r="A24" s="146" t="s">
        <v>293</v>
      </c>
      <c r="B24" s="147" t="n">
        <v>0.01</v>
      </c>
      <c r="C24" s="148" t="s">
        <v>294</v>
      </c>
      <c r="D24" s="149" t="n">
        <v>1000000</v>
      </c>
    </row>
    <row r="26" customFormat="false" ht="21.75" hidden="false" customHeight="true" outlineLevel="0" collapsed="false">
      <c r="A26" s="130" t="s">
        <v>295</v>
      </c>
      <c r="B26" s="130"/>
      <c r="C26" s="130"/>
      <c r="D26" s="130"/>
      <c r="E26" s="130"/>
      <c r="F26" s="130"/>
      <c r="G26" s="150" t="s">
        <v>103</v>
      </c>
    </row>
    <row r="27" customFormat="false" ht="15" hidden="false" customHeight="true" outlineLevel="0" collapsed="false">
      <c r="A27" s="131" t="s">
        <v>296</v>
      </c>
      <c r="B27" s="131" t="s">
        <v>297</v>
      </c>
      <c r="C27" s="131" t="s">
        <v>298</v>
      </c>
      <c r="D27" s="131" t="s">
        <v>299</v>
      </c>
      <c r="E27" s="131" t="s">
        <v>92</v>
      </c>
      <c r="F27" s="131" t="s">
        <v>106</v>
      </c>
      <c r="G27" s="1" t="s">
        <v>103</v>
      </c>
    </row>
    <row r="28" customFormat="false" ht="15" hidden="false" customHeight="true" outlineLevel="0" collapsed="false">
      <c r="A28" s="151" t="s">
        <v>80</v>
      </c>
      <c r="B28" s="151" t="s">
        <v>300</v>
      </c>
      <c r="C28" s="151" t="s">
        <v>301</v>
      </c>
      <c r="D28" s="151" t="s">
        <v>302</v>
      </c>
      <c r="E28" s="151" t="s">
        <v>303</v>
      </c>
      <c r="F28" s="151" t="s">
        <v>304</v>
      </c>
      <c r="G28" s="95" t="s">
        <v>305</v>
      </c>
    </row>
    <row r="29" customFormat="false" ht="15" hidden="false" customHeight="true" outlineLevel="0" collapsed="false">
      <c r="A29" s="152" t="s">
        <v>306</v>
      </c>
      <c r="B29" s="152" t="s">
        <v>307</v>
      </c>
      <c r="C29" s="152" t="s">
        <v>308</v>
      </c>
      <c r="D29" s="152" t="s">
        <v>309</v>
      </c>
      <c r="E29" s="152" t="s">
        <v>310</v>
      </c>
      <c r="F29" s="152" t="s">
        <v>311</v>
      </c>
      <c r="G29" s="95" t="s">
        <v>312</v>
      </c>
    </row>
    <row r="30" customFormat="false" ht="15" hidden="false" customHeight="true" outlineLevel="0" collapsed="false">
      <c r="A30" s="151" t="s">
        <v>81</v>
      </c>
      <c r="B30" s="151" t="s">
        <v>313</v>
      </c>
      <c r="C30" s="151" t="s">
        <v>314</v>
      </c>
      <c r="D30" s="151" t="s">
        <v>315</v>
      </c>
      <c r="E30" s="151" t="s">
        <v>316</v>
      </c>
      <c r="F30" s="151" t="s">
        <v>317</v>
      </c>
      <c r="G30" s="95"/>
    </row>
    <row r="31" customFormat="false" ht="15" hidden="false" customHeight="true" outlineLevel="0" collapsed="false">
      <c r="A31" s="152" t="s">
        <v>83</v>
      </c>
      <c r="B31" s="152" t="s">
        <v>318</v>
      </c>
      <c r="C31" s="152" t="s">
        <v>319</v>
      </c>
      <c r="D31" s="152" t="s">
        <v>320</v>
      </c>
      <c r="E31" s="152" t="s">
        <v>321</v>
      </c>
      <c r="F31" s="152" t="s">
        <v>322</v>
      </c>
      <c r="G31" s="95"/>
    </row>
    <row r="32" customFormat="false" ht="15" hidden="false" customHeight="true" outlineLevel="0" collapsed="false">
      <c r="A32" s="151" t="s">
        <v>85</v>
      </c>
      <c r="B32" s="151" t="s">
        <v>323</v>
      </c>
      <c r="C32" s="151" t="s">
        <v>324</v>
      </c>
      <c r="D32" s="151" t="s">
        <v>325</v>
      </c>
      <c r="E32" s="151"/>
      <c r="F32" s="151" t="s">
        <v>326</v>
      </c>
      <c r="G32" s="95"/>
    </row>
    <row r="33" customFormat="false" ht="15" hidden="false" customHeight="true" outlineLevel="0" collapsed="false">
      <c r="A33" s="152" t="s">
        <v>86</v>
      </c>
      <c r="B33" s="152" t="s">
        <v>327</v>
      </c>
      <c r="C33" s="152" t="s">
        <v>328</v>
      </c>
      <c r="D33" s="152" t="s">
        <v>329</v>
      </c>
      <c r="E33" s="152"/>
      <c r="F33" s="152"/>
      <c r="G33" s="95"/>
    </row>
    <row r="34" customFormat="false" ht="15" hidden="false" customHeight="true" outlineLevel="0" collapsed="false">
      <c r="A34" s="151" t="s">
        <v>87</v>
      </c>
      <c r="B34" s="151" t="s">
        <v>330</v>
      </c>
      <c r="C34" s="151"/>
      <c r="D34" s="151" t="s">
        <v>331</v>
      </c>
      <c r="E34" s="151"/>
      <c r="F34" s="151"/>
      <c r="G34" s="95"/>
    </row>
    <row r="35" customFormat="false" ht="15" hidden="false" customHeight="true" outlineLevel="0" collapsed="false">
      <c r="A35" s="152" t="s">
        <v>332</v>
      </c>
      <c r="B35" s="152" t="s">
        <v>333</v>
      </c>
      <c r="C35" s="152"/>
      <c r="D35" s="152" t="s">
        <v>334</v>
      </c>
      <c r="E35" s="152"/>
      <c r="F35" s="152"/>
      <c r="G35" s="95"/>
    </row>
    <row r="36" customFormat="false" ht="15" hidden="false" customHeight="true" outlineLevel="0" collapsed="false">
      <c r="A36" s="151" t="s">
        <v>335</v>
      </c>
      <c r="B36" s="151" t="s">
        <v>336</v>
      </c>
      <c r="C36" s="151"/>
      <c r="D36" s="151"/>
      <c r="E36" s="151"/>
      <c r="F36" s="151"/>
      <c r="G36" s="95"/>
    </row>
    <row r="37" customFormat="false" ht="15" hidden="false" customHeight="true" outlineLevel="0" collapsed="false">
      <c r="A37" s="152"/>
      <c r="B37" s="152" t="s">
        <v>337</v>
      </c>
      <c r="C37" s="152"/>
      <c r="D37" s="152"/>
      <c r="E37" s="152"/>
      <c r="F37" s="152"/>
      <c r="G37" s="95"/>
    </row>
    <row r="38" customFormat="false" ht="15" hidden="false" customHeight="true" outlineLevel="0" collapsed="false">
      <c r="A38" s="151"/>
      <c r="B38" s="151" t="s">
        <v>338</v>
      </c>
      <c r="C38" s="151"/>
      <c r="D38" s="151"/>
      <c r="E38" s="151"/>
      <c r="F38" s="151"/>
      <c r="G38" s="95"/>
    </row>
    <row r="39" customFormat="false" ht="15" hidden="false" customHeight="true" outlineLevel="0" collapsed="false">
      <c r="A39" s="152"/>
      <c r="B39" s="152" t="s">
        <v>339</v>
      </c>
      <c r="C39" s="152"/>
      <c r="D39" s="152"/>
      <c r="E39" s="152"/>
      <c r="F39" s="152"/>
      <c r="G39" s="95"/>
    </row>
    <row r="40" customFormat="false" ht="15" hidden="false" customHeight="true" outlineLevel="0" collapsed="false">
      <c r="A40" s="151"/>
      <c r="B40" s="151" t="s">
        <v>340</v>
      </c>
      <c r="C40" s="151"/>
      <c r="D40" s="151"/>
      <c r="E40" s="151"/>
      <c r="F40" s="151"/>
      <c r="G40" s="95"/>
    </row>
    <row r="41" customFormat="false" ht="15" hidden="false" customHeight="true" outlineLevel="0" collapsed="false">
      <c r="A41" s="152"/>
      <c r="B41" s="152" t="s">
        <v>341</v>
      </c>
      <c r="C41" s="152"/>
      <c r="D41" s="152"/>
      <c r="E41" s="152"/>
      <c r="F41" s="152"/>
      <c r="G41" s="95"/>
    </row>
    <row r="42" customFormat="false" ht="15" hidden="false" customHeight="true" outlineLevel="0" collapsed="false">
      <c r="A42" s="95"/>
      <c r="B42" s="153" t="s">
        <v>342</v>
      </c>
      <c r="C42" s="95"/>
      <c r="D42" s="95"/>
      <c r="E42" s="95"/>
      <c r="F42" s="95"/>
      <c r="G42" s="95"/>
    </row>
    <row r="43" customFormat="false" ht="15" hidden="false" customHeight="true" outlineLevel="0" collapsed="false">
      <c r="A43" s="95"/>
      <c r="B43" s="153" t="s">
        <v>343</v>
      </c>
      <c r="C43" s="95"/>
      <c r="D43" s="95"/>
      <c r="E43" s="95"/>
      <c r="F43" s="95"/>
      <c r="G43" s="95"/>
    </row>
    <row r="44" customFormat="false" ht="15" hidden="false" customHeight="true" outlineLevel="0" collapsed="false">
      <c r="A44" s="154"/>
      <c r="B44" s="155"/>
      <c r="C44" s="156"/>
      <c r="D44" s="156"/>
      <c r="E44" s="95"/>
      <c r="F44" s="95"/>
      <c r="G44" s="95"/>
    </row>
    <row r="45" customFormat="false" ht="15" hidden="false" customHeight="true" outlineLevel="0" collapsed="false">
      <c r="A45" s="157"/>
      <c r="B45" s="158"/>
      <c r="C45" s="157"/>
      <c r="D45" s="157"/>
      <c r="E45" s="95"/>
      <c r="F45" s="95"/>
      <c r="G45" s="95"/>
    </row>
    <row r="46" customFormat="false" ht="15" hidden="false" customHeight="true" outlineLevel="0" collapsed="false">
      <c r="A46" s="159"/>
      <c r="B46" s="159"/>
      <c r="C46" s="159"/>
      <c r="D46" s="159"/>
      <c r="E46" s="95"/>
      <c r="F46" s="95"/>
      <c r="G46" s="95"/>
    </row>
    <row r="47" customFormat="false" ht="15" hidden="false" customHeight="true" outlineLevel="0" collapsed="false">
      <c r="A47" s="159"/>
      <c r="B47" s="159"/>
      <c r="C47" s="159"/>
      <c r="D47" s="159"/>
      <c r="E47" s="95"/>
      <c r="F47" s="95"/>
      <c r="G47" s="95"/>
    </row>
    <row r="48" customFormat="false" ht="15" hidden="false" customHeight="true" outlineLevel="0" collapsed="false">
      <c r="A48" s="159"/>
      <c r="B48" s="159"/>
      <c r="C48" s="159"/>
      <c r="D48" s="159"/>
      <c r="E48" s="95"/>
      <c r="F48" s="95"/>
      <c r="G48" s="95"/>
    </row>
    <row r="49" customFormat="false" ht="15" hidden="false" customHeight="true" outlineLevel="0" collapsed="false">
      <c r="A49" s="159"/>
      <c r="B49" s="159"/>
      <c r="C49" s="159"/>
      <c r="D49" s="159"/>
      <c r="E49" s="95"/>
      <c r="F49" s="95"/>
      <c r="G49" s="95"/>
    </row>
    <row r="50" customFormat="false" ht="15" hidden="false" customHeight="true" outlineLevel="0" collapsed="false">
      <c r="A50" s="159"/>
      <c r="B50" s="159"/>
      <c r="C50" s="159"/>
      <c r="D50" s="159"/>
      <c r="E50" s="95"/>
      <c r="F50" s="95"/>
      <c r="G50" s="95"/>
    </row>
    <row r="51" customFormat="false" ht="15" hidden="false" customHeight="true" outlineLevel="0" collapsed="false">
      <c r="A51" s="159"/>
      <c r="B51" s="159"/>
      <c r="C51" s="159"/>
      <c r="D51" s="159"/>
      <c r="E51" s="95"/>
      <c r="F51" s="95"/>
      <c r="G51" s="95"/>
    </row>
    <row r="52" customFormat="false" ht="15" hidden="false" customHeight="true" outlineLevel="0" collapsed="false">
      <c r="A52" s="95"/>
      <c r="B52" s="153"/>
      <c r="C52" s="95"/>
      <c r="D52" s="95"/>
      <c r="E52" s="95"/>
      <c r="F52" s="95"/>
      <c r="G52" s="95"/>
    </row>
    <row r="53" customFormat="false" ht="15" hidden="false" customHeight="true" outlineLevel="0" collapsed="false">
      <c r="A53" s="154"/>
      <c r="B53" s="155"/>
      <c r="C53" s="156"/>
      <c r="D53" s="156"/>
      <c r="E53" s="95"/>
      <c r="F53" s="95"/>
      <c r="G53" s="95"/>
    </row>
    <row r="54" customFormat="false" ht="15" hidden="false" customHeight="true" outlineLevel="0" collapsed="false">
      <c r="A54" s="157"/>
      <c r="B54" s="158"/>
      <c r="C54" s="157"/>
      <c r="D54" s="157"/>
      <c r="E54" s="95"/>
      <c r="F54" s="95"/>
      <c r="G54" s="95"/>
    </row>
    <row r="55" customFormat="false" ht="15" hidden="false" customHeight="true" outlineLevel="0" collapsed="false">
      <c r="A55" s="159"/>
      <c r="B55" s="159"/>
      <c r="C55" s="159"/>
      <c r="D55" s="159"/>
      <c r="E55" s="95"/>
      <c r="F55" s="95"/>
      <c r="G55" s="95"/>
    </row>
    <row r="56" customFormat="false" ht="15" hidden="false" customHeight="true" outlineLevel="0" collapsed="false">
      <c r="A56" s="160"/>
      <c r="B56" s="160"/>
      <c r="C56" s="160"/>
      <c r="D56" s="160"/>
    </row>
    <row r="57" customFormat="false" ht="15" hidden="false" customHeight="true" outlineLevel="0" collapsed="false">
      <c r="A57" s="160"/>
      <c r="B57" s="160"/>
      <c r="C57" s="160"/>
      <c r="D57" s="160"/>
    </row>
    <row r="58" customFormat="false" ht="15" hidden="false" customHeight="true" outlineLevel="0" collapsed="false">
      <c r="A58" s="160"/>
      <c r="B58" s="160"/>
      <c r="C58" s="160"/>
      <c r="D58" s="160"/>
    </row>
    <row r="59" customFormat="false" ht="15" hidden="false" customHeight="true" outlineLevel="0" collapsed="false">
      <c r="A59" s="160"/>
      <c r="B59" s="160"/>
      <c r="C59" s="160"/>
      <c r="D59" s="160"/>
    </row>
    <row r="60" customFormat="false" ht="15" hidden="false" customHeight="true" outlineLevel="0" collapsed="false">
      <c r="A60" s="160"/>
      <c r="B60" s="160"/>
      <c r="C60" s="160"/>
      <c r="D60" s="160"/>
    </row>
    <row r="61" customFormat="false" ht="15" hidden="false" customHeight="true" outlineLevel="0" collapsed="false">
      <c r="A61" s="160"/>
      <c r="B61" s="160"/>
      <c r="C61" s="160"/>
      <c r="D61" s="160"/>
    </row>
    <row r="62" customFormat="false" ht="15" hidden="false" customHeight="true" outlineLevel="0" collapsed="false">
      <c r="A62" s="160"/>
      <c r="B62" s="160"/>
      <c r="C62" s="160"/>
      <c r="D62" s="160"/>
    </row>
    <row r="64" customFormat="false" ht="15" hidden="false" customHeight="true" outlineLevel="0" collapsed="false">
      <c r="A64" s="160"/>
      <c r="B64" s="160"/>
      <c r="C64" s="160"/>
      <c r="D64" s="160"/>
    </row>
    <row r="67" customFormat="false" ht="15" hidden="false" customHeight="true" outlineLevel="0" collapsed="false">
      <c r="A67" s="161" t="s">
        <v>344</v>
      </c>
      <c r="B67" s="162"/>
      <c r="C67" s="162"/>
      <c r="D67" s="162"/>
    </row>
    <row r="68" customFormat="false" ht="15" hidden="false" customHeight="true" outlineLevel="0" collapsed="false">
      <c r="A68" s="163" t="s">
        <v>345</v>
      </c>
      <c r="B68" s="163" t="s">
        <v>346</v>
      </c>
      <c r="C68" s="163" t="s">
        <v>347</v>
      </c>
      <c r="D68" s="163" t="s">
        <v>348</v>
      </c>
    </row>
    <row r="69" customFormat="false" ht="15" hidden="false" customHeight="true" outlineLevel="0" collapsed="false">
      <c r="A69" s="160" t="s">
        <v>119</v>
      </c>
      <c r="B69" s="159" t="n">
        <v>1</v>
      </c>
      <c r="C69" s="160" t="s">
        <v>349</v>
      </c>
      <c r="D69" s="160" t="s">
        <v>350</v>
      </c>
    </row>
    <row r="70" customFormat="false" ht="15" hidden="false" customHeight="true" outlineLevel="0" collapsed="false">
      <c r="A70" s="160" t="s">
        <v>56</v>
      </c>
      <c r="B70" s="159" t="n">
        <v>1.5</v>
      </c>
      <c r="C70" s="160" t="s">
        <v>351</v>
      </c>
      <c r="D70" s="160" t="s">
        <v>352</v>
      </c>
    </row>
    <row r="71" customFormat="false" ht="15" hidden="false" customHeight="true" outlineLevel="0" collapsed="false">
      <c r="A71" s="160" t="s">
        <v>353</v>
      </c>
      <c r="B71" s="159" t="n">
        <v>0.06</v>
      </c>
      <c r="C71" s="160" t="s">
        <v>354</v>
      </c>
      <c r="D71" s="160" t="s">
        <v>355</v>
      </c>
    </row>
    <row r="72" customFormat="false" ht="15" hidden="false" customHeight="true" outlineLevel="0" collapsed="false">
      <c r="A72" s="160" t="s">
        <v>356</v>
      </c>
      <c r="B72" s="159" t="n">
        <v>1.59</v>
      </c>
      <c r="C72" s="160" t="s">
        <v>357</v>
      </c>
      <c r="D72" s="160" t="s">
        <v>358</v>
      </c>
    </row>
    <row r="73" customFormat="false" ht="15" hidden="false" customHeight="true" outlineLevel="0" collapsed="false">
      <c r="A73" s="160" t="s">
        <v>359</v>
      </c>
      <c r="B73" s="159" t="n">
        <v>1</v>
      </c>
      <c r="C73" s="160" t="s">
        <v>360</v>
      </c>
      <c r="D73" s="160" t="s">
        <v>361</v>
      </c>
    </row>
    <row r="74" customFormat="false" ht="15" hidden="false" customHeight="true" outlineLevel="0" collapsed="false">
      <c r="A74" s="160" t="s">
        <v>362</v>
      </c>
      <c r="B74" s="159" t="n">
        <v>2</v>
      </c>
      <c r="C74" s="160" t="s">
        <v>360</v>
      </c>
      <c r="D74" s="160" t="s">
        <v>363</v>
      </c>
    </row>
    <row r="76" customFormat="false" ht="15" hidden="false" customHeight="true" outlineLevel="0" collapsed="false">
      <c r="A76" s="161" t="s">
        <v>364</v>
      </c>
      <c r="B76" s="162"/>
      <c r="C76" s="162"/>
      <c r="D76" s="162"/>
    </row>
    <row r="77" customFormat="false" ht="15" hidden="false" customHeight="true" outlineLevel="0" collapsed="false">
      <c r="A77" s="163" t="s">
        <v>274</v>
      </c>
      <c r="B77" s="163" t="s">
        <v>275</v>
      </c>
      <c r="C77" s="163" t="s">
        <v>365</v>
      </c>
      <c r="D77" s="163" t="s">
        <v>206</v>
      </c>
    </row>
    <row r="78" customFormat="false" ht="15" hidden="false" customHeight="true" outlineLevel="0" collapsed="false">
      <c r="A78" s="160" t="s">
        <v>366</v>
      </c>
      <c r="B78" s="159" t="n">
        <v>18</v>
      </c>
      <c r="C78" s="160" t="s">
        <v>367</v>
      </c>
      <c r="D78" s="160" t="s">
        <v>368</v>
      </c>
    </row>
    <row r="79" customFormat="false" ht="15" hidden="false" customHeight="true" outlineLevel="0" collapsed="false">
      <c r="A79" s="160" t="s">
        <v>369</v>
      </c>
      <c r="B79" s="159" t="n">
        <v>45</v>
      </c>
      <c r="C79" s="160" t="s">
        <v>370</v>
      </c>
      <c r="D79" s="160" t="s">
        <v>371</v>
      </c>
    </row>
    <row r="80" customFormat="false" ht="15" hidden="false" customHeight="true" outlineLevel="0" collapsed="false">
      <c r="A80" s="160" t="s">
        <v>372</v>
      </c>
      <c r="B80" s="159" t="n">
        <v>9</v>
      </c>
      <c r="C80" s="160" t="s">
        <v>370</v>
      </c>
      <c r="D80" s="160" t="s">
        <v>373</v>
      </c>
    </row>
    <row r="81" customFormat="false" ht="15" hidden="false" customHeight="true" outlineLevel="0" collapsed="false">
      <c r="A81" s="160" t="s">
        <v>374</v>
      </c>
      <c r="B81" s="159" t="n">
        <v>8</v>
      </c>
      <c r="C81" s="160" t="s">
        <v>370</v>
      </c>
      <c r="D81" s="160" t="s">
        <v>373</v>
      </c>
    </row>
    <row r="82" customFormat="false" ht="15" hidden="false" customHeight="true" outlineLevel="0" collapsed="false">
      <c r="A82" s="160" t="s">
        <v>375</v>
      </c>
      <c r="B82" s="159" t="n">
        <v>10</v>
      </c>
      <c r="C82" s="160" t="s">
        <v>370</v>
      </c>
      <c r="D82" s="160" t="s">
        <v>376</v>
      </c>
    </row>
    <row r="83" customFormat="false" ht="15" hidden="false" customHeight="true" outlineLevel="0" collapsed="false">
      <c r="A83" s="160" t="s">
        <v>377</v>
      </c>
      <c r="B83" s="159" t="n">
        <v>3</v>
      </c>
      <c r="C83" s="160" t="s">
        <v>370</v>
      </c>
      <c r="D83" s="160" t="s">
        <v>376</v>
      </c>
    </row>
    <row r="84" customFormat="false" ht="15" hidden="false" customHeight="true" outlineLevel="0" collapsed="false">
      <c r="A84" s="160" t="s">
        <v>378</v>
      </c>
      <c r="B84" s="159" t="s">
        <v>379</v>
      </c>
      <c r="C84" s="160"/>
      <c r="D84" s="160" t="s">
        <v>380</v>
      </c>
    </row>
    <row r="85" customFormat="false" ht="15" hidden="false" customHeight="true" outlineLevel="0" collapsed="false">
      <c r="A85" s="160" t="s">
        <v>381</v>
      </c>
      <c r="B85" s="159" t="s">
        <v>382</v>
      </c>
      <c r="C85" s="160"/>
      <c r="D85" s="160" t="s">
        <v>380</v>
      </c>
    </row>
    <row r="86" customFormat="false" ht="15" hidden="false" customHeight="true" outlineLevel="0" collapsed="false">
      <c r="B86" s="95"/>
    </row>
    <row r="87" customFormat="false" ht="15" hidden="false" customHeight="true" outlineLevel="0" collapsed="false">
      <c r="A87" s="160" t="s">
        <v>383</v>
      </c>
      <c r="B87" s="159" t="n">
        <v>195</v>
      </c>
      <c r="C87" s="160" t="s">
        <v>370</v>
      </c>
      <c r="D87" s="160" t="s">
        <v>384</v>
      </c>
    </row>
  </sheetData>
  <sheetProtection sheet="true" formatColumns="false" formatRows="false" sort="false" autoFilter="false"/>
  <mergeCells count="7">
    <mergeCell ref="A1:F1"/>
    <mergeCell ref="A2:F2"/>
    <mergeCell ref="A4:F4"/>
    <mergeCell ref="A14:D14"/>
    <mergeCell ref="A22:D22"/>
    <mergeCell ref="C23:D23"/>
    <mergeCell ref="A26:F26"/>
  </mergeCells>
  <dataValidations count="1">
    <dataValidation allowBlank="false" errorStyle="stop" operator="between" showDropDown="false" showErrorMessage="false" showInputMessage="false" sqref="B2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2026-05-16T08:45:57Z</dcterms:created>
  <dc:creator>openpyxl</dc:creator>
  <dc:description/>
  <dc:language>en-US</dc:language>
  <cp:lastModifiedBy/>
  <dcterms:modified xsi:type="dcterms:W3CDTF">2026-06-18T14:01:42Z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