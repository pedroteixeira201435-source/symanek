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ettings" sheetId="1" state="visible" r:id="rId1"/>
    <sheet xmlns:r="http://schemas.openxmlformats.org/officeDocument/2006/relationships" name="KPI Dashboard" sheetId="2" state="visible" r:id="rId2"/>
    <sheet xmlns:r="http://schemas.openxmlformats.org/officeDocument/2006/relationships" name="Prior Year" sheetId="3" state="visible" r:id="rId3"/>
    <sheet xmlns:r="http://schemas.openxmlformats.org/officeDocument/2006/relationships" name="Journal" sheetId="4" state="visible" r:id="rId4"/>
    <sheet xmlns:r="http://schemas.openxmlformats.org/officeDocument/2006/relationships" name="Trial Balance" sheetId="5" state="visible" r:id="rId5"/>
    <sheet xmlns:r="http://schemas.openxmlformats.org/officeDocument/2006/relationships" name="Income Statement" sheetId="6" state="visible" r:id="rId6"/>
    <sheet xmlns:r="http://schemas.openxmlformats.org/officeDocument/2006/relationships" name="Tax Engine" sheetId="7" state="visible" r:id="rId7"/>
    <sheet xmlns:r="http://schemas.openxmlformats.org/officeDocument/2006/relationships" name="Balance Sheet" sheetId="8" state="visible" r:id="rId8"/>
    <sheet xmlns:r="http://schemas.openxmlformats.org/officeDocument/2006/relationships" name="Cash Flow" sheetId="9" state="visible" r:id="rId9"/>
    <sheet xmlns:r="http://schemas.openxmlformats.org/officeDocument/2006/relationships" name="Bank Reconciliation" sheetId="10" state="visible" r:id="rId10"/>
    <sheet xmlns:r="http://schemas.openxmlformats.org/officeDocument/2006/relationships" name="Asset Register" sheetId="11" state="visible" r:id="rId11"/>
    <sheet xmlns:r="http://schemas.openxmlformats.org/officeDocument/2006/relationships" name="VAT Ledger" sheetId="12" state="visible" r:id="rId12"/>
    <sheet xmlns:r="http://schemas.openxmlformats.org/officeDocument/2006/relationships" name="Controls &amp; Audit" sheetId="13" state="visible" r:id="rId13"/>
    <sheet xmlns:r="http://schemas.openxmlformats.org/officeDocument/2006/relationships" name="AFS - Cover" sheetId="14" state="visible" r:id="rId14"/>
    <sheet xmlns:r="http://schemas.openxmlformats.org/officeDocument/2006/relationships" name="AFS - Income" sheetId="15" state="visible" r:id="rId15"/>
    <sheet xmlns:r="http://schemas.openxmlformats.org/officeDocument/2006/relationships" name="AFS - Position" sheetId="16" state="visible" r:id="rId16"/>
    <sheet xmlns:r="http://schemas.openxmlformats.org/officeDocument/2006/relationships" name="AFS - Equity" sheetId="17" state="visible" r:id="rId17"/>
    <sheet xmlns:r="http://schemas.openxmlformats.org/officeDocument/2006/relationships" name="AFS - Cash Flows" sheetId="18" state="visible" r:id="rId18"/>
    <sheet xmlns:r="http://schemas.openxmlformats.org/officeDocument/2006/relationships" name="AFS - Notes" sheetId="19" state="visible" r:id="rId19"/>
  </sheets>
  <definedNames>
    <definedName name="AccountsList" hidden="0" function="0" vbProcedure="0">Settings!$A$12:$A$39</definedName>
  </definedNames>
  <calcPr calcId="124519" fullCalcOnLoad="1" refMode="A1" iterate="0" iterateCount="100" iterateDelta="0.0001"/>
</workbook>
</file>

<file path=xl/styles.xml><?xml version="1.0" encoding="utf-8"?>
<styleSheet xmlns="http://schemas.openxmlformats.org/spreadsheetml/2006/main">
  <numFmts count="8">
    <numFmt numFmtId="164" formatCode="0.0%;\(0.0%\);\-"/>
    <numFmt numFmtId="165" formatCode="0.0%"/>
    <numFmt numFmtId="166" formatCode="0.0\x"/>
    <numFmt numFmtId="167" formatCode="0.00\x"/>
    <numFmt numFmtId="168" formatCode="#,##0;\(#,##0\);\-"/>
    <numFmt numFmtId="169" formatCode="&quot;N$&quot;#,##0;&quot;(N$&quot;#,##0\);\-"/>
    <numFmt numFmtId="170" formatCode="yyyy\-mm\-dd"/>
    <numFmt numFmtId="171" formatCode="dd/mm/yyyy"/>
  </numFmts>
  <fonts count="3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b val="1"/>
      <color rgb="FFFFFFFF"/>
      <sz val="10"/>
    </font>
    <font>
      <name val="Arial"/>
      <charset val="1"/>
      <family val="0"/>
      <b val="1"/>
      <color rgb="FF000000"/>
      <sz val="10"/>
    </font>
    <font>
      <name val="Arial"/>
      <charset val="1"/>
      <family val="0"/>
      <color rgb="FF0000FF"/>
      <sz val="10"/>
    </font>
    <font>
      <name val="Arial"/>
      <charset val="1"/>
      <family val="0"/>
      <color rgb="FF000000"/>
      <sz val="10"/>
    </font>
    <font>
      <name val="Arial"/>
      <charset val="1"/>
      <family val="0"/>
      <i val="1"/>
      <color rgb="FF595959"/>
      <sz val="10"/>
    </font>
    <font>
      <name val="Arial"/>
      <charset val="1"/>
      <family val="0"/>
      <sz val="10"/>
    </font>
    <font>
      <name val="Arial"/>
      <charset val="1"/>
      <family val="0"/>
      <b val="1"/>
      <color rgb="FF0000FF"/>
      <sz val="10"/>
    </font>
    <font>
      <name val="Arial"/>
      <charset val="1"/>
      <family val="0"/>
      <i val="1"/>
      <color rgb="FF808080"/>
      <sz val="9"/>
    </font>
    <font>
      <name val="Arial"/>
      <charset val="1"/>
      <family val="0"/>
      <b val="1"/>
      <color rgb="FFFFFFFF"/>
      <sz val="16"/>
    </font>
    <font>
      <name val="Arial"/>
      <charset val="1"/>
      <family val="0"/>
      <i val="1"/>
      <color rgb="FF595959"/>
      <sz val="11"/>
    </font>
    <font>
      <name val="Arial"/>
      <charset val="1"/>
      <family val="0"/>
      <b val="1"/>
      <sz val="10"/>
    </font>
    <font>
      <name val="Arial"/>
      <charset val="1"/>
      <family val="0"/>
      <i val="1"/>
      <color rgb="FF595959"/>
      <sz val="9"/>
    </font>
    <font>
      <name val="Arial"/>
      <charset val="1"/>
      <family val="0"/>
      <b val="1"/>
      <color rgb="FF375623"/>
      <sz val="11"/>
    </font>
    <font>
      <name val="Arial"/>
      <charset val="1"/>
      <family val="0"/>
      <color rgb="FF595959"/>
      <sz val="10"/>
    </font>
    <font>
      <name val="Arial"/>
      <charset val="1"/>
      <family val="0"/>
      <i val="1"/>
      <color rgb="FF595959"/>
      <sz val="8"/>
    </font>
    <font>
      <name val="Arial"/>
      <charset val="1"/>
      <family val="0"/>
      <b val="1"/>
      <color rgb="FFFFFFFF"/>
      <sz val="12"/>
    </font>
    <font>
      <name val="Arial"/>
      <charset val="1"/>
      <family val="0"/>
      <b val="1"/>
      <color rgb="FFFFFFFF"/>
      <sz val="11"/>
    </font>
    <font>
      <name val="Arial"/>
      <charset val="1"/>
      <family val="0"/>
      <color rgb="FF595959"/>
      <sz val="9"/>
    </font>
    <font>
      <name val="Arial"/>
      <charset val="1"/>
      <family val="0"/>
      <b val="1"/>
      <color rgb="FF595959"/>
      <sz val="9"/>
    </font>
    <font>
      <name val="Arial"/>
      <charset val="1"/>
      <family val="0"/>
      <color rgb="FF008000"/>
      <sz val="10"/>
    </font>
    <font>
      <name val="Arial"/>
      <charset val="1"/>
      <family val="0"/>
      <b val="1"/>
      <sz val="11"/>
    </font>
    <font>
      <name val="Calibri"/>
      <family val="2"/>
      <b val="1"/>
      <color rgb="FF000000"/>
      <sz val="18"/>
    </font>
    <font>
      <name val="Calibri"/>
      <family val="2"/>
      <color rgb="FF000000"/>
      <sz val="10"/>
    </font>
    <font>
      <name val="Calibri"/>
      <family val="2"/>
      <b val="1"/>
      <color rgb="FF000000"/>
      <sz val="10"/>
    </font>
    <font>
      <name val="Arial"/>
      <charset val="1"/>
      <family val="0"/>
      <b val="1"/>
      <sz val="9"/>
    </font>
    <font>
      <name val="Arial"/>
      <charset val="1"/>
      <family val="0"/>
      <sz val="9"/>
    </font>
    <font>
      <name val="Arial"/>
      <charset val="1"/>
      <family val="0"/>
      <i val="1"/>
      <color rgb="FF808080"/>
      <sz val="10"/>
    </font>
    <font>
      <name val="Arial"/>
      <charset val="1"/>
      <family val="0"/>
      <b val="1"/>
      <color rgb="FF595959"/>
      <sz val="10"/>
    </font>
    <font>
      <name val="Arial"/>
      <charset val="1"/>
      <family val="0"/>
      <b val="1"/>
      <color rgb="FFFFFFFF"/>
      <sz val="9"/>
    </font>
    <font>
      <name val="Arial"/>
      <charset val="1"/>
      <family val="0"/>
      <b val="1"/>
      <color rgb="FF008000"/>
      <sz val="10"/>
    </font>
    <font>
      <name val="Arial"/>
      <charset val="1"/>
      <family val="0"/>
      <b val="1"/>
      <color rgb="FFC00000"/>
      <sz val="10"/>
    </font>
    <font>
      <name val="Arial"/>
      <charset val="1"/>
      <family val="0"/>
      <color rgb="FF000000"/>
      <sz val="9"/>
    </font>
    <font>
      <name val="Arial"/>
      <charset val="1"/>
      <family val="0"/>
      <i val="1"/>
      <color rgb="FFFFFFFF"/>
      <sz val="9"/>
    </font>
  </fonts>
  <fills count="12">
    <fill>
      <patternFill/>
    </fill>
    <fill>
      <patternFill patternType="gray125"/>
    </fill>
    <fill>
      <patternFill patternType="solid">
        <fgColor rgb="FF1F3864"/>
        <bgColor rgb="FF2E4B8A"/>
      </patternFill>
    </fill>
    <fill>
      <patternFill patternType="solid">
        <fgColor rgb="FF2E4B8A"/>
        <bgColor rgb="FF1F3864"/>
      </patternFill>
    </fill>
    <fill>
      <patternFill patternType="solid">
        <fgColor rgb="FFD9E1F2"/>
        <bgColor rgb="FFD9D9D9"/>
      </patternFill>
    </fill>
    <fill>
      <patternFill patternType="solid">
        <fgColor rgb="FFFFFFFF"/>
        <bgColor rgb="FFFAFAFA"/>
      </patternFill>
    </fill>
    <fill>
      <patternFill patternType="solid">
        <fgColor rgb="FFF2F2F2"/>
        <bgColor rgb="FFF9F9F9"/>
      </patternFill>
    </fill>
    <fill>
      <patternFill patternType="solid">
        <fgColor rgb="FF4472C4"/>
        <bgColor rgb="FF4F81BD"/>
      </patternFill>
    </fill>
    <fill>
      <patternFill patternType="solid">
        <fgColor rgb="FFFAFAFA"/>
        <bgColor rgb="FFF9F9F9"/>
      </patternFill>
    </fill>
    <fill>
      <patternFill patternType="solid">
        <fgColor rgb="FFBDD7EE"/>
        <bgColor rgb="FFD0D0D0"/>
      </patternFill>
    </fill>
    <fill>
      <patternFill patternType="solid">
        <fgColor rgb="FFFFF2CC"/>
        <bgColor rgb="FFFCE4D6"/>
      </patternFill>
    </fill>
    <fill>
      <patternFill patternType="solid">
        <fgColor rgb="FF7030A0"/>
        <bgColor rgb="FF800080"/>
      </patternFill>
    </fill>
  </fills>
  <borders count="9">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top/>
      <bottom style="thin">
        <color rgb="FFD0D0D0"/>
      </bottom>
      <diagonal/>
    </border>
    <border>
      <left style="thin">
        <color rgb="FFD9D9D9"/>
      </left>
      <right style="thin">
        <color rgb="FFD9D9D9"/>
      </right>
      <top style="thin">
        <color rgb="FFD9D9D9"/>
      </top>
      <bottom style="thin">
        <color rgb="FFD9D9D9"/>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3" borderId="1" applyAlignment="1" pivotButton="0" quotePrefix="0" xfId="0">
      <alignment horizontal="left" vertical="center" indent="1"/>
    </xf>
    <xf numFmtId="0" fontId="6" fillId="4" borderId="2" applyAlignment="1" pivotButton="0" quotePrefix="0" xfId="0">
      <alignment horizontal="center" vertical="center"/>
    </xf>
    <xf numFmtId="0" fontId="7" fillId="5" borderId="2" applyAlignment="1" pivotButton="0" quotePrefix="0" xfId="0">
      <alignment horizontal="left" vertical="center" indent="1"/>
    </xf>
    <xf numFmtId="164" fontId="7" fillId="5" borderId="2" applyAlignment="1" applyProtection="1" pivotButton="0" quotePrefix="0" xfId="0">
      <alignment horizontal="right" vertical="center"/>
      <protection locked="0" hidden="0"/>
    </xf>
    <xf numFmtId="0" fontId="8" fillId="5" borderId="2" applyAlignment="1" pivotButton="0" quotePrefix="0" xfId="0">
      <alignment horizontal="left" vertical="center" indent="1"/>
    </xf>
    <xf numFmtId="0" fontId="8" fillId="0" borderId="0" applyAlignment="1" pivotButton="0" quotePrefix="0" xfId="0">
      <alignment horizontal="general" vertical="bottom"/>
    </xf>
    <xf numFmtId="165" fontId="7" fillId="0"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applyProtection="1" pivotButton="0" quotePrefix="0" xfId="0">
      <alignment horizontal="general" vertical="bottom"/>
      <protection locked="0" hidden="0"/>
    </xf>
    <xf numFmtId="0" fontId="12" fillId="0" borderId="0" applyAlignment="1" pivotButton="0" quotePrefix="0" xfId="0">
      <alignment horizontal="general" vertical="bottom"/>
    </xf>
    <xf numFmtId="0" fontId="0" fillId="0" borderId="3" applyAlignment="1" pivotButton="0" quotePrefix="0" xfId="0">
      <alignment horizontal="general" vertical="bottom"/>
    </xf>
    <xf numFmtId="0" fontId="8" fillId="6" borderId="2" applyAlignment="1" pivotButton="0" quotePrefix="0" xfId="0">
      <alignment horizontal="left" vertical="center" indent="1"/>
    </xf>
    <xf numFmtId="0" fontId="13" fillId="2" borderId="0" applyAlignment="1" pivotButton="0" quotePrefix="0" xfId="0">
      <alignment horizontal="center" vertical="center"/>
    </xf>
    <xf numFmtId="165" fontId="14" fillId="6" borderId="0" applyAlignment="1" pivotButton="0" quotePrefix="0" xfId="0">
      <alignment horizontal="center" vertical="center"/>
    </xf>
    <xf numFmtId="0" fontId="5" fillId="7" borderId="0" applyAlignment="1" pivotButton="0" quotePrefix="0" xfId="0">
      <alignment horizontal="left" vertical="bottom" indent="1"/>
    </xf>
    <xf numFmtId="0" fontId="6" fillId="4" borderId="0" applyAlignment="1" pivotButton="0" quotePrefix="0" xfId="0">
      <alignment horizontal="center" vertical="bottom"/>
    </xf>
    <xf numFmtId="0" fontId="15" fillId="8" borderId="0" applyAlignment="1" pivotButton="0" quotePrefix="0" xfId="0">
      <alignment horizontal="general" vertical="bottom"/>
    </xf>
    <xf numFmtId="0" fontId="16" fillId="8" borderId="0" applyAlignment="1" pivotButton="0" quotePrefix="0" xfId="0">
      <alignment horizontal="general" vertical="bottom"/>
    </xf>
    <xf numFmtId="164" fontId="17" fillId="8" borderId="0" applyAlignment="1" pivotButton="0" quotePrefix="0" xfId="0">
      <alignment horizontal="general" vertical="bottom"/>
    </xf>
    <xf numFmtId="164" fontId="10" fillId="8" borderId="0" applyAlignment="1" pivotButton="0" quotePrefix="0" xfId="0">
      <alignment horizontal="general" vertical="bottom"/>
    </xf>
    <xf numFmtId="0" fontId="10" fillId="8" borderId="0" applyAlignment="1" pivotButton="0" quotePrefix="0" xfId="0">
      <alignment horizontal="general" vertical="bottom"/>
    </xf>
    <xf numFmtId="0" fontId="15" fillId="5" borderId="0" applyAlignment="1" pivotButton="0" quotePrefix="0" xfId="0">
      <alignment horizontal="general" vertical="bottom"/>
    </xf>
    <xf numFmtId="0" fontId="16" fillId="5" borderId="0" applyAlignment="1" pivotButton="0" quotePrefix="0" xfId="0">
      <alignment horizontal="general" vertical="bottom"/>
    </xf>
    <xf numFmtId="164" fontId="17" fillId="5" borderId="0" applyAlignment="1" pivotButton="0" quotePrefix="0" xfId="0">
      <alignment horizontal="general" vertical="bottom"/>
    </xf>
    <xf numFmtId="164" fontId="10" fillId="5" borderId="0" applyAlignment="1" pivotButton="0" quotePrefix="0" xfId="0">
      <alignment horizontal="general" vertical="bottom"/>
    </xf>
    <xf numFmtId="0" fontId="10" fillId="5" borderId="0" applyAlignment="1" pivotButton="0" quotePrefix="0" xfId="0">
      <alignment horizontal="general" vertical="bottom"/>
    </xf>
    <xf numFmtId="166" fontId="17" fillId="8" borderId="0" applyAlignment="1" pivotButton="0" quotePrefix="0" xfId="0">
      <alignment horizontal="general" vertical="bottom"/>
    </xf>
    <xf numFmtId="0" fontId="18" fillId="8" borderId="0" applyAlignment="1" pivotButton="0" quotePrefix="0" xfId="0">
      <alignment horizontal="center" vertical="bottom"/>
    </xf>
    <xf numFmtId="167" fontId="17" fillId="5" borderId="0" applyAlignment="1" pivotButton="0" quotePrefix="0" xfId="0">
      <alignment horizontal="general" vertical="bottom"/>
    </xf>
    <xf numFmtId="0" fontId="18" fillId="5" borderId="0" applyAlignment="1" pivotButton="0" quotePrefix="0" xfId="0">
      <alignment horizontal="center" vertical="bottom"/>
    </xf>
    <xf numFmtId="0" fontId="0" fillId="5" borderId="0" applyAlignment="1" pivotButton="0" quotePrefix="0" xfId="0">
      <alignment horizontal="general" vertical="bottom"/>
    </xf>
    <xf numFmtId="168" fontId="15" fillId="5" borderId="0" applyAlignment="1" pivotButton="0" quotePrefix="0" xfId="0">
      <alignment horizontal="general" vertical="bottom"/>
    </xf>
    <xf numFmtId="168" fontId="10" fillId="5" borderId="0" applyAlignment="1" pivotButton="0" quotePrefix="0" xfId="0">
      <alignment horizontal="general" vertical="bottom"/>
    </xf>
    <xf numFmtId="0" fontId="0" fillId="8" borderId="0" applyAlignment="1" pivotButton="0" quotePrefix="0" xfId="0">
      <alignment horizontal="general" vertical="bottom"/>
    </xf>
    <xf numFmtId="168" fontId="15" fillId="8" borderId="0" applyAlignment="1" pivotButton="0" quotePrefix="0" xfId="0">
      <alignment horizontal="general" vertical="bottom"/>
    </xf>
    <xf numFmtId="168" fontId="10" fillId="8" borderId="0" applyAlignment="1" pivotButton="0" quotePrefix="0" xfId="0">
      <alignment horizontal="general" vertical="bottom"/>
    </xf>
    <xf numFmtId="0" fontId="19" fillId="6" borderId="0" applyAlignment="1" pivotButton="0" quotePrefix="0" xfId="0">
      <alignment horizontal="general" vertical="bottom"/>
    </xf>
    <xf numFmtId="0" fontId="20" fillId="2" borderId="0" applyAlignment="1" pivotButton="0" quotePrefix="0" xfId="0">
      <alignment horizontal="center" vertical="center"/>
    </xf>
    <xf numFmtId="0" fontId="12" fillId="4" borderId="0" applyAlignment="1" pivotButton="0" quotePrefix="0" xfId="0">
      <alignment horizontal="left" vertical="center"/>
    </xf>
    <xf numFmtId="0" fontId="5" fillId="3" borderId="0" applyAlignment="1" pivotButton="0" quotePrefix="0" xfId="0">
      <alignment horizontal="left" vertical="center"/>
    </xf>
    <xf numFmtId="0" fontId="5" fillId="3" borderId="0" applyAlignment="1" pivotButton="0" quotePrefix="0" xfId="0">
      <alignment horizontal="center" vertical="center"/>
    </xf>
    <xf numFmtId="169" fontId="11" fillId="0" borderId="0" applyAlignment="1" applyProtection="1" pivotButton="0" quotePrefix="0" xfId="0">
      <alignment horizontal="right" vertical="center"/>
      <protection locked="0" hidden="0"/>
    </xf>
    <xf numFmtId="0" fontId="6" fillId="9" borderId="0" applyAlignment="1" pivotButton="0" quotePrefix="0" xfId="0">
      <alignment horizontal="general" vertical="bottom"/>
    </xf>
    <xf numFmtId="169" fontId="6" fillId="9" borderId="0" applyAlignment="1" pivotButton="0" quotePrefix="0" xfId="0">
      <alignment horizontal="right" vertical="center"/>
    </xf>
    <xf numFmtId="0" fontId="0" fillId="9" borderId="0" applyAlignment="1" pivotButton="0" quotePrefix="0" xfId="0">
      <alignment horizontal="general" vertical="bottom"/>
    </xf>
    <xf numFmtId="0" fontId="21" fillId="2" borderId="0" applyAlignment="1" pivotButton="0" quotePrefix="0" xfId="0">
      <alignment horizontal="general" vertical="bottom"/>
    </xf>
    <xf numFmtId="169" fontId="21" fillId="2" borderId="0" applyAlignment="1" pivotButton="0" quotePrefix="0" xfId="0">
      <alignment horizontal="right" vertical="center"/>
    </xf>
    <xf numFmtId="0" fontId="0" fillId="2" borderId="0" applyAlignment="1" pivotButton="0" quotePrefix="0" xfId="0">
      <alignment horizontal="general" vertical="bottom"/>
    </xf>
    <xf numFmtId="0" fontId="6" fillId="4" borderId="0" applyAlignment="1" pivotButton="0" quotePrefix="0" xfId="0">
      <alignment horizontal="right" vertical="center"/>
    </xf>
    <xf numFmtId="169" fontId="6" fillId="4" borderId="0" applyAlignment="1" pivotButton="0" quotePrefix="0" xfId="0">
      <alignment horizontal="right" vertical="center"/>
    </xf>
    <xf numFmtId="0" fontId="7" fillId="0" borderId="4" applyAlignment="1" applyProtection="1" pivotButton="0" quotePrefix="0" xfId="0">
      <alignment horizontal="center" vertical="center"/>
      <protection locked="0" hidden="0"/>
    </xf>
    <xf numFmtId="0" fontId="7" fillId="0" borderId="4" applyAlignment="1" applyProtection="1" pivotButton="0" quotePrefix="0" xfId="0">
      <alignment horizontal="general" vertical="bottom"/>
      <protection locked="0" hidden="0"/>
    </xf>
    <xf numFmtId="169" fontId="7" fillId="0" borderId="4" applyAlignment="1" applyProtection="1" pivotButton="0" quotePrefix="0" xfId="0">
      <alignment horizontal="right" vertical="center"/>
      <protection locked="0" hidden="0"/>
    </xf>
    <xf numFmtId="169" fontId="8" fillId="0" borderId="4" applyAlignment="1" pivotButton="0" quotePrefix="0" xfId="0">
      <alignment horizontal="right" vertical="center"/>
    </xf>
    <xf numFmtId="0" fontId="21" fillId="2" borderId="0" applyAlignment="1" pivotButton="0" quotePrefix="0" xfId="0">
      <alignment horizontal="right" vertical="center"/>
    </xf>
    <xf numFmtId="0" fontId="21" fillId="2" borderId="0" applyAlignment="1" pivotButton="0" quotePrefix="0" xfId="0">
      <alignment horizontal="center" vertical="center"/>
    </xf>
    <xf numFmtId="0" fontId="22" fillId="6" borderId="0" applyAlignment="1" pivotButton="0" quotePrefix="0" xfId="0">
      <alignment horizontal="left" vertical="center"/>
    </xf>
    <xf numFmtId="0" fontId="23" fillId="6" borderId="0" applyAlignment="1" pivotButton="0" quotePrefix="0" xfId="0">
      <alignment horizontal="right" vertical="center"/>
    </xf>
    <xf numFmtId="169" fontId="6" fillId="6" borderId="0" applyAlignment="1" pivotButton="0" quotePrefix="0" xfId="0">
      <alignment horizontal="right" vertical="center"/>
    </xf>
    <xf numFmtId="0" fontId="8" fillId="6" borderId="0" applyAlignment="1" pivotButton="0" quotePrefix="0" xfId="0">
      <alignment horizontal="left" vertical="center"/>
    </xf>
    <xf numFmtId="0" fontId="5" fillId="7" borderId="5" applyAlignment="1" pivotButton="0" quotePrefix="0" xfId="0">
      <alignment horizontal="center" vertical="center"/>
    </xf>
    <xf numFmtId="0" fontId="5" fillId="7" borderId="5" applyAlignment="1" pivotButton="0" quotePrefix="0" xfId="0">
      <alignment horizontal="left" vertical="center"/>
    </xf>
    <xf numFmtId="0" fontId="18" fillId="0" borderId="5" applyAlignment="1" pivotButton="0" quotePrefix="0" xfId="0">
      <alignment horizontal="center" vertical="center"/>
    </xf>
    <xf numFmtId="0" fontId="24" fillId="0" borderId="5" applyAlignment="1" pivotButton="0" quotePrefix="0" xfId="0">
      <alignment horizontal="left" vertical="center"/>
    </xf>
    <xf numFmtId="169" fontId="8" fillId="0" borderId="5" applyAlignment="1" pivotButton="0" quotePrefix="0" xfId="0">
      <alignment horizontal="right" vertical="center"/>
    </xf>
    <xf numFmtId="0" fontId="24" fillId="0" borderId="5" applyAlignment="1" pivotButton="0" quotePrefix="0" xfId="0">
      <alignment horizontal="center" vertical="center"/>
    </xf>
    <xf numFmtId="0" fontId="8" fillId="2" borderId="5" applyAlignment="1" pivotButton="0" quotePrefix="0" xfId="0">
      <alignment horizontal="left" vertical="center"/>
    </xf>
    <xf numFmtId="0" fontId="5" fillId="2" borderId="5" applyAlignment="1" pivotButton="0" quotePrefix="0" xfId="0">
      <alignment horizontal="left" vertical="center"/>
    </xf>
    <xf numFmtId="169" fontId="5" fillId="2" borderId="5" applyAlignment="1" pivotButton="0" quotePrefix="0" xfId="0">
      <alignment horizontal="right" vertical="center"/>
    </xf>
    <xf numFmtId="0" fontId="5" fillId="3" borderId="0" applyAlignment="1" pivotButton="0" quotePrefix="0" xfId="0">
      <alignment horizontal="center" vertical="center"/>
    </xf>
    <xf numFmtId="0" fontId="25" fillId="2" borderId="1" applyAlignment="1" pivotButton="0" quotePrefix="0" xfId="0">
      <alignment horizontal="center" vertical="center"/>
    </xf>
    <xf numFmtId="0" fontId="5" fillId="2" borderId="0" applyAlignment="1" pivotButton="0" quotePrefix="0" xfId="0">
      <alignment horizontal="center" vertical="bottom"/>
    </xf>
    <xf numFmtId="168" fontId="7" fillId="0" borderId="0" applyAlignment="1" pivotButton="0" quotePrefix="0" xfId="0">
      <alignment horizontal="general" vertical="bottom"/>
    </xf>
    <xf numFmtId="169" fontId="24" fillId="5" borderId="2" applyAlignment="1" pivotButton="0" quotePrefix="0" xfId="0">
      <alignment horizontal="right" vertical="center"/>
    </xf>
    <xf numFmtId="169" fontId="11" fillId="5" borderId="0" applyAlignment="1" applyProtection="1" pivotButton="0" quotePrefix="0" xfId="0">
      <alignment horizontal="general" vertical="bottom"/>
      <protection locked="0" hidden="0"/>
    </xf>
    <xf numFmtId="164" fontId="8" fillId="5" borderId="0" applyAlignment="1" pivotButton="0" quotePrefix="0" xfId="0">
      <alignment horizontal="general" vertical="bottom"/>
    </xf>
    <xf numFmtId="0" fontId="6" fillId="9" borderId="2" applyAlignment="1" pivotButton="0" quotePrefix="0" xfId="0">
      <alignment horizontal="left" vertical="center" indent="1"/>
    </xf>
    <xf numFmtId="169" fontId="6" fillId="9" borderId="2" applyAlignment="1" pivotButton="0" quotePrefix="0" xfId="0">
      <alignment horizontal="right" vertical="center"/>
    </xf>
    <xf numFmtId="169" fontId="11" fillId="9" borderId="0" applyAlignment="1" applyProtection="1" pivotButton="0" quotePrefix="0" xfId="0">
      <alignment horizontal="general" vertical="bottom"/>
      <protection locked="0" hidden="0"/>
    </xf>
    <xf numFmtId="164" fontId="8" fillId="9" borderId="0" applyAlignment="1" pivotButton="0" quotePrefix="0" xfId="0">
      <alignment horizontal="general" vertical="bottom"/>
    </xf>
    <xf numFmtId="169" fontId="11" fillId="0" borderId="0" applyAlignment="1" applyProtection="1" pivotButton="0" quotePrefix="0" xfId="0">
      <alignment horizontal="general" vertical="bottom"/>
      <protection locked="0" hidden="0"/>
    </xf>
    <xf numFmtId="0" fontId="5" fillId="7" borderId="2" applyAlignment="1" pivotButton="0" quotePrefix="0" xfId="0">
      <alignment horizontal="left" vertical="center" indent="1"/>
    </xf>
    <xf numFmtId="169" fontId="5" fillId="7" borderId="2" applyAlignment="1" pivotButton="0" quotePrefix="0" xfId="0">
      <alignment horizontal="right" vertical="center"/>
    </xf>
    <xf numFmtId="169" fontId="11" fillId="7" borderId="0" applyAlignment="1" applyProtection="1" pivotButton="0" quotePrefix="0" xfId="0">
      <alignment horizontal="general" vertical="bottom"/>
      <protection locked="0" hidden="0"/>
    </xf>
    <xf numFmtId="164" fontId="8" fillId="7" borderId="0" applyAlignment="1" pivotButton="0" quotePrefix="0" xfId="0">
      <alignment horizontal="general" vertical="bottom"/>
    </xf>
    <xf numFmtId="169" fontId="24" fillId="6" borderId="2" applyAlignment="1" pivotButton="0" quotePrefix="0" xfId="0">
      <alignment horizontal="right" vertical="center"/>
    </xf>
    <xf numFmtId="169" fontId="11" fillId="6" borderId="0" applyAlignment="1" applyProtection="1" pivotButton="0" quotePrefix="0" xfId="0">
      <alignment horizontal="general" vertical="bottom"/>
      <protection locked="0" hidden="0"/>
    </xf>
    <xf numFmtId="164" fontId="8" fillId="6" borderId="0" applyAlignment="1" pivotButton="0" quotePrefix="0" xfId="0">
      <alignment horizontal="general" vertical="bottom"/>
    </xf>
    <xf numFmtId="0" fontId="5" fillId="7" borderId="2" applyAlignment="1" pivotButton="0" quotePrefix="0" xfId="0">
      <alignment horizontal="general" vertical="bottom"/>
    </xf>
    <xf numFmtId="169" fontId="8" fillId="5" borderId="2" applyAlignment="1" pivotButton="0" quotePrefix="0" xfId="0">
      <alignment horizontal="right" vertical="center"/>
    </xf>
    <xf numFmtId="0" fontId="5" fillId="2" borderId="2" applyAlignment="1" pivotButton="0" quotePrefix="0" xfId="0">
      <alignment horizontal="general" vertical="bottom"/>
    </xf>
    <xf numFmtId="169" fontId="5" fillId="2" borderId="2" applyAlignment="1" pivotButton="0" quotePrefix="0" xfId="0">
      <alignment horizontal="right" vertical="center"/>
    </xf>
    <xf numFmtId="169" fontId="11" fillId="2" borderId="0" applyAlignment="1" applyProtection="1" pivotButton="0" quotePrefix="0" xfId="0">
      <alignment horizontal="general" vertical="bottom"/>
      <protection locked="0" hidden="0"/>
    </xf>
    <xf numFmtId="164" fontId="8" fillId="2" borderId="0" applyAlignment="1" pivotButton="0" quotePrefix="0" xfId="0">
      <alignment horizontal="general" vertical="bottom"/>
    </xf>
    <xf numFmtId="169" fontId="24" fillId="5" borderId="2" applyAlignment="1" pivotButton="0" quotePrefix="0" xfId="0">
      <alignment horizontal="left" vertical="center" indent="1"/>
    </xf>
    <xf numFmtId="168" fontId="11" fillId="0" borderId="0" applyAlignment="1" applyProtection="1" pivotButton="0" quotePrefix="0" xfId="0">
      <alignment horizontal="general" vertical="bottom"/>
      <protection locked="0" hidden="0"/>
    </xf>
    <xf numFmtId="0" fontId="21" fillId="2" borderId="2" applyAlignment="1" pivotButton="0" quotePrefix="0" xfId="0">
      <alignment horizontal="general" vertical="bottom"/>
    </xf>
    <xf numFmtId="169" fontId="21" fillId="2" borderId="2" applyAlignment="1" pivotButton="0" quotePrefix="0" xfId="0">
      <alignment horizontal="right" vertical="center"/>
    </xf>
    <xf numFmtId="168" fontId="7" fillId="2" borderId="0" applyAlignment="1" pivotButton="0" quotePrefix="0" xfId="0">
      <alignment horizontal="general" vertical="bottom"/>
    </xf>
    <xf numFmtId="0" fontId="6" fillId="4" borderId="2" applyAlignment="1" pivotButton="0" quotePrefix="0" xfId="0">
      <alignment horizontal="left" vertical="center" indent="1"/>
    </xf>
    <xf numFmtId="169" fontId="7" fillId="5" borderId="2" applyAlignment="1" applyProtection="1" pivotButton="0" quotePrefix="0" xfId="0">
      <alignment horizontal="right" vertical="center"/>
      <protection locked="0" hidden="0"/>
    </xf>
    <xf numFmtId="0" fontId="16" fillId="5" borderId="2" applyAlignment="1" pivotButton="0" quotePrefix="0" xfId="0">
      <alignment horizontal="left" vertical="center" indent="1"/>
    </xf>
    <xf numFmtId="169" fontId="8" fillId="5" borderId="2" applyAlignment="1" pivotButton="0" quotePrefix="0" xfId="0">
      <alignment horizontal="left" vertical="center" indent="1"/>
    </xf>
    <xf numFmtId="0" fontId="0" fillId="0" borderId="0" applyAlignment="1" pivotButton="0" quotePrefix="0" xfId="0">
      <alignment horizontal="general" vertical="bottom"/>
    </xf>
    <xf numFmtId="164" fontId="24" fillId="5" borderId="2" applyAlignment="1" pivotButton="0" quotePrefix="0" xfId="0">
      <alignment horizontal="left" vertical="center" indent="1"/>
    </xf>
    <xf numFmtId="0" fontId="0" fillId="0" borderId="6" applyAlignment="1" pivotButton="0" quotePrefix="0" xfId="0">
      <alignment horizontal="general" vertical="bottom"/>
    </xf>
    <xf numFmtId="169" fontId="8" fillId="0" borderId="0" applyAlignment="1" pivotButton="0" quotePrefix="0" xfId="0">
      <alignment horizontal="right" vertical="center"/>
    </xf>
    <xf numFmtId="0" fontId="16" fillId="6" borderId="2" applyAlignment="1" pivotButton="0" quotePrefix="0" xfId="0">
      <alignment horizontal="left" vertical="center" indent="1"/>
    </xf>
    <xf numFmtId="0" fontId="0" fillId="6" borderId="2" applyAlignment="1" pivotButton="0" quotePrefix="0" xfId="0">
      <alignment horizontal="general" vertical="bottom"/>
    </xf>
    <xf numFmtId="169" fontId="29" fillId="6" borderId="2" applyAlignment="1" pivotButton="0" quotePrefix="0" xfId="0">
      <alignment horizontal="right" vertical="center"/>
    </xf>
    <xf numFmtId="0" fontId="5" fillId="7" borderId="1" applyAlignment="1" pivotButton="0" quotePrefix="0" xfId="0">
      <alignment horizontal="left" vertical="center" indent="1"/>
    </xf>
    <xf numFmtId="0" fontId="8" fillId="5" borderId="2" applyAlignment="1" pivotButton="0" quotePrefix="0" xfId="0">
      <alignment horizontal="left" vertical="center" indent="3"/>
    </xf>
    <xf numFmtId="0" fontId="8" fillId="6" borderId="2" applyAlignment="1" pivotButton="0" quotePrefix="0" xfId="0">
      <alignment horizontal="left" vertical="center" indent="3"/>
    </xf>
    <xf numFmtId="168" fontId="24" fillId="0" borderId="0" applyAlignment="1" pivotButton="0" quotePrefix="0" xfId="0">
      <alignment horizontal="general" vertical="bottom"/>
    </xf>
    <xf numFmtId="169" fontId="8" fillId="5" borderId="2" applyAlignment="1" applyProtection="1" pivotButton="0" quotePrefix="0" xfId="0">
      <alignment horizontal="right" vertical="center"/>
      <protection locked="0" hidden="0"/>
    </xf>
    <xf numFmtId="169" fontId="24" fillId="0" borderId="0" applyAlignment="1" pivotButton="0" quotePrefix="0" xfId="0">
      <alignment horizontal="right" vertical="center"/>
    </xf>
    <xf numFmtId="169" fontId="8" fillId="6" borderId="2" applyAlignment="1" applyProtection="1" pivotButton="0" quotePrefix="0" xfId="0">
      <alignment horizontal="right" vertical="center"/>
      <protection locked="0" hidden="0"/>
    </xf>
    <xf numFmtId="0" fontId="30" fillId="0" borderId="0" applyAlignment="1" pivotButton="0" quotePrefix="0" xfId="0">
      <alignment horizontal="general" vertical="bottom"/>
    </xf>
    <xf numFmtId="169" fontId="0" fillId="0" borderId="0" applyAlignment="1" pivotButton="0" quotePrefix="0" xfId="0">
      <alignment horizontal="general" vertical="bottom"/>
    </xf>
    <xf numFmtId="0" fontId="11" fillId="0" borderId="0" applyAlignment="1" pivotButton="0" quotePrefix="0" xfId="0">
      <alignment horizontal="general" vertical="bottom"/>
    </xf>
    <xf numFmtId="0" fontId="31" fillId="0" borderId="0" applyAlignment="1" pivotButton="0" quotePrefix="0" xfId="0">
      <alignment horizontal="general" vertical="bottom"/>
    </xf>
    <xf numFmtId="169" fontId="24" fillId="0" borderId="0" applyAlignment="1" pivotButton="0" quotePrefix="0" xfId="0">
      <alignment horizontal="general" vertical="bottom"/>
    </xf>
    <xf numFmtId="0" fontId="22" fillId="6" borderId="0" applyAlignment="1" pivotButton="0" quotePrefix="0" xfId="0">
      <alignment horizontal="left" vertical="center" wrapText="1"/>
    </xf>
    <xf numFmtId="0" fontId="5" fillId="3" borderId="0" applyAlignment="1" pivotButton="0" quotePrefix="0" xfId="0">
      <alignment horizontal="left" vertical="center"/>
    </xf>
    <xf numFmtId="0" fontId="8" fillId="0" borderId="5" applyAlignment="1" pivotButton="0" quotePrefix="0" xfId="0">
      <alignment horizontal="left" vertical="center"/>
    </xf>
    <xf numFmtId="169" fontId="24" fillId="0" borderId="5" applyAlignment="1" pivotButton="0" quotePrefix="0" xfId="0">
      <alignment horizontal="right" vertical="center"/>
    </xf>
    <xf numFmtId="0" fontId="22" fillId="0" borderId="5" applyAlignment="1" pivotButton="0" quotePrefix="0" xfId="0">
      <alignment horizontal="left" vertical="center"/>
    </xf>
    <xf numFmtId="0" fontId="5" fillId="7" borderId="0" applyAlignment="1" pivotButton="0" quotePrefix="0" xfId="0">
      <alignment horizontal="left" vertical="center" wrapText="1"/>
    </xf>
    <xf numFmtId="169" fontId="7" fillId="10" borderId="5" applyAlignment="1" pivotButton="0" quotePrefix="0" xfId="0">
      <alignment horizontal="right" vertical="center"/>
    </xf>
    <xf numFmtId="0" fontId="32" fillId="6" borderId="0" applyAlignment="1" pivotButton="0" quotePrefix="0" xfId="0">
      <alignment horizontal="left" vertical="center"/>
    </xf>
    <xf numFmtId="0" fontId="33" fillId="3" borderId="1" applyAlignment="1" pivotButton="0" quotePrefix="0" xfId="0">
      <alignment horizontal="center" vertical="center"/>
    </xf>
    <xf numFmtId="0" fontId="5" fillId="7" borderId="2" applyAlignment="1" pivotButton="0" quotePrefix="0" xfId="0">
      <alignment horizontal="center" vertical="center"/>
    </xf>
    <xf numFmtId="0" fontId="16" fillId="6" borderId="1" applyAlignment="1" pivotButton="0" quotePrefix="0" xfId="0">
      <alignment horizontal="left" vertical="center" indent="1"/>
    </xf>
    <xf numFmtId="0" fontId="7" fillId="5" borderId="2" applyAlignment="1" applyProtection="1" pivotButton="0" quotePrefix="0" xfId="0">
      <alignment horizontal="left" vertical="center" indent="1"/>
      <protection locked="0" hidden="0"/>
    </xf>
    <xf numFmtId="170" fontId="7" fillId="5" borderId="2" applyAlignment="1" applyProtection="1" pivotButton="0" quotePrefix="0" xfId="0">
      <alignment horizontal="left" vertical="center" indent="1"/>
      <protection locked="0" hidden="0"/>
    </xf>
    <xf numFmtId="0" fontId="7" fillId="5" borderId="2" applyAlignment="1" applyProtection="1" pivotButton="0" quotePrefix="0" xfId="0">
      <alignment horizontal="right" vertical="center"/>
      <protection locked="0" hidden="0"/>
    </xf>
    <xf numFmtId="0" fontId="0" fillId="5" borderId="2" applyAlignment="1" applyProtection="1" pivotButton="0" quotePrefix="0" xfId="0">
      <alignment horizontal="left" vertical="center" indent="1"/>
      <protection locked="0" hidden="0"/>
    </xf>
    <xf numFmtId="0" fontId="7" fillId="6" borderId="2" applyAlignment="1" pivotButton="0" quotePrefix="0" xfId="0">
      <alignment horizontal="left" vertical="center" indent="1"/>
    </xf>
    <xf numFmtId="0" fontId="7" fillId="6" borderId="2" applyAlignment="1" applyProtection="1" pivotButton="0" quotePrefix="0" xfId="0">
      <alignment horizontal="left" vertical="center" indent="1"/>
      <protection locked="0" hidden="0"/>
    </xf>
    <xf numFmtId="170" fontId="7" fillId="6" borderId="2" applyAlignment="1" applyProtection="1" pivotButton="0" quotePrefix="0" xfId="0">
      <alignment horizontal="left" vertical="center" indent="1"/>
      <protection locked="0" hidden="0"/>
    </xf>
    <xf numFmtId="169" fontId="7" fillId="6" borderId="2" applyAlignment="1" applyProtection="1" pivotButton="0" quotePrefix="0" xfId="0">
      <alignment horizontal="right" vertical="center"/>
      <protection locked="0" hidden="0"/>
    </xf>
    <xf numFmtId="0" fontId="7" fillId="6" borderId="2" applyAlignment="1" applyProtection="1" pivotButton="0" quotePrefix="0" xfId="0">
      <alignment horizontal="right" vertical="center"/>
      <protection locked="0" hidden="0"/>
    </xf>
    <xf numFmtId="164" fontId="7" fillId="6" borderId="2" applyAlignment="1" applyProtection="1" pivotButton="0" quotePrefix="0" xfId="0">
      <alignment horizontal="right" vertical="center"/>
      <protection locked="0" hidden="0"/>
    </xf>
    <xf numFmtId="169" fontId="8" fillId="6" borderId="2" applyAlignment="1" pivotButton="0" quotePrefix="0" xfId="0">
      <alignment horizontal="right" vertical="center"/>
    </xf>
    <xf numFmtId="0" fontId="0" fillId="6" borderId="2" applyAlignment="1" applyProtection="1" pivotButton="0" quotePrefix="0" xfId="0">
      <alignment horizontal="left" vertical="center" indent="1"/>
      <protection locked="0" hidden="0"/>
    </xf>
    <xf numFmtId="0" fontId="7" fillId="8" borderId="0" applyAlignment="1" pivotButton="0" quotePrefix="0" xfId="0">
      <alignment horizontal="general" vertical="bottom"/>
    </xf>
    <xf numFmtId="168" fontId="7" fillId="8" borderId="0" applyAlignment="1" applyProtection="1" pivotButton="0" quotePrefix="0" xfId="0">
      <alignment horizontal="general" vertical="bottom"/>
      <protection locked="0" hidden="0"/>
    </xf>
    <xf numFmtId="0" fontId="7" fillId="8" borderId="0" applyAlignment="1" applyProtection="1" pivotButton="0" quotePrefix="0" xfId="0">
      <alignment horizontal="general" vertical="bottom"/>
      <protection locked="0" hidden="0"/>
    </xf>
    <xf numFmtId="10" fontId="7" fillId="8" borderId="0" applyAlignment="1" applyProtection="1" pivotButton="0" quotePrefix="0" xfId="0">
      <alignment horizontal="general" vertical="bottom"/>
      <protection locked="0" hidden="0"/>
    </xf>
    <xf numFmtId="168" fontId="8" fillId="8" borderId="0" applyAlignment="1" pivotButton="0" quotePrefix="0" xfId="0">
      <alignment horizontal="general" vertical="bottom"/>
    </xf>
    <xf numFmtId="0" fontId="0" fillId="8" borderId="0" applyAlignment="1" applyProtection="1" pivotButton="0" quotePrefix="0" xfId="0">
      <alignment horizontal="general" vertical="bottom"/>
      <protection locked="0" hidden="0"/>
    </xf>
    <xf numFmtId="0" fontId="7" fillId="6" borderId="0" applyAlignment="1" pivotButton="0" quotePrefix="0" xfId="0">
      <alignment horizontal="general" vertical="bottom"/>
    </xf>
    <xf numFmtId="0" fontId="7" fillId="6" borderId="0" applyAlignment="1" applyProtection="1" pivotButton="0" quotePrefix="0" xfId="0">
      <alignment horizontal="general" vertical="bottom"/>
      <protection locked="0" hidden="0"/>
    </xf>
    <xf numFmtId="168" fontId="7" fillId="6" borderId="0" applyAlignment="1" applyProtection="1" pivotButton="0" quotePrefix="0" xfId="0">
      <alignment horizontal="general" vertical="bottom"/>
      <protection locked="0" hidden="0"/>
    </xf>
    <xf numFmtId="10" fontId="7" fillId="6" borderId="0" applyAlignment="1" applyProtection="1" pivotButton="0" quotePrefix="0" xfId="0">
      <alignment horizontal="general" vertical="bottom"/>
      <protection locked="0" hidden="0"/>
    </xf>
    <xf numFmtId="168" fontId="8" fillId="6" borderId="0" applyAlignment="1" pivotButton="0" quotePrefix="0" xfId="0">
      <alignment horizontal="general" vertical="bottom"/>
    </xf>
    <xf numFmtId="0" fontId="0" fillId="6" borderId="0" applyAlignment="1" applyProtection="1" pivotButton="0" quotePrefix="0" xfId="0">
      <alignment horizontal="general" vertical="bottom"/>
      <protection locked="0" hidden="0"/>
    </xf>
    <xf numFmtId="0" fontId="7" fillId="8" borderId="0" applyAlignment="1" pivotButton="0" quotePrefix="0" xfId="0">
      <alignment horizontal="general" vertical="bottom"/>
    </xf>
    <xf numFmtId="0" fontId="0" fillId="0" borderId="0" applyAlignment="1" applyProtection="1" pivotButton="0" quotePrefix="0" xfId="0">
      <alignment horizontal="general" vertical="bottom"/>
      <protection locked="0" hidden="0"/>
    </xf>
    <xf numFmtId="168" fontId="8" fillId="0" borderId="0" applyAlignment="1" pivotButton="0" quotePrefix="0" xfId="0">
      <alignment horizontal="general" vertical="bottom"/>
    </xf>
    <xf numFmtId="0" fontId="6" fillId="9" borderId="2" applyAlignment="1" pivotButton="0" quotePrefix="0" xfId="0">
      <alignment horizontal="right" vertical="center"/>
    </xf>
    <xf numFmtId="0" fontId="5" fillId="7" borderId="1" applyAlignment="1" pivotButton="0" quotePrefix="0" xfId="0">
      <alignment horizontal="center" vertical="center"/>
    </xf>
    <xf numFmtId="0" fontId="10" fillId="5" borderId="2" applyAlignment="1" pivotButton="0" quotePrefix="0" xfId="0">
      <alignment horizontal="left" vertical="center" indent="1"/>
    </xf>
    <xf numFmtId="0" fontId="10" fillId="6" borderId="2" applyAlignment="1" pivotButton="0" quotePrefix="0" xfId="0">
      <alignment horizontal="left" vertical="center" indent="1"/>
    </xf>
    <xf numFmtId="0" fontId="5" fillId="2" borderId="2" applyAlignment="1" pivotButton="0" quotePrefix="0" xfId="0">
      <alignment horizontal="left" vertical="center" indent="1"/>
    </xf>
    <xf numFmtId="0" fontId="8" fillId="5" borderId="2" applyAlignment="1" pivotButton="0" quotePrefix="0" xfId="0">
      <alignment horizontal="center" vertical="center"/>
    </xf>
    <xf numFmtId="170" fontId="7" fillId="5" borderId="2" applyAlignment="1" applyProtection="1" pivotButton="0" quotePrefix="0" xfId="0">
      <alignment horizontal="center" vertical="center"/>
      <protection locked="0" hidden="0"/>
    </xf>
    <xf numFmtId="165" fontId="24" fillId="5" borderId="2" applyAlignment="1" pivotButton="0" quotePrefix="0" xfId="0">
      <alignment horizontal="right" vertical="center"/>
    </xf>
    <xf numFmtId="0" fontId="8" fillId="6" borderId="2" applyAlignment="1" pivotButton="0" quotePrefix="0" xfId="0">
      <alignment horizontal="center" vertical="center"/>
    </xf>
    <xf numFmtId="170" fontId="7" fillId="6" borderId="2" applyAlignment="1" applyProtection="1" pivotButton="0" quotePrefix="0" xfId="0">
      <alignment horizontal="center" vertical="center"/>
      <protection locked="0" hidden="0"/>
    </xf>
    <xf numFmtId="165" fontId="24" fillId="6" borderId="2" applyAlignment="1" pivotButton="0" quotePrefix="0" xfId="0">
      <alignment horizontal="right" vertical="center"/>
    </xf>
    <xf numFmtId="0" fontId="7" fillId="0" borderId="0" applyAlignment="1" applyProtection="1" pivotButton="0" quotePrefix="0" xfId="0">
      <alignment horizontal="general" vertical="bottom"/>
      <protection locked="0" hidden="0"/>
    </xf>
    <xf numFmtId="168" fontId="7" fillId="0" borderId="0" applyAlignment="1" applyProtection="1" pivotButton="0" quotePrefix="0" xfId="0">
      <alignment horizontal="general" vertical="bottom"/>
      <protection locked="0" hidden="0"/>
    </xf>
    <xf numFmtId="165" fontId="24" fillId="0" borderId="0" applyAlignment="1" pivotButton="0" quotePrefix="0" xfId="0">
      <alignment horizontal="general" vertical="bottom"/>
    </xf>
    <xf numFmtId="0" fontId="6" fillId="9" borderId="2" applyAlignment="1" pivotButton="0" quotePrefix="0" xfId="0">
      <alignment horizontal="general" vertical="bottom"/>
    </xf>
    <xf numFmtId="0" fontId="15" fillId="9" borderId="2" applyAlignment="1" pivotButton="0" quotePrefix="0" xfId="0">
      <alignment horizontal="left" vertical="center" indent="1"/>
    </xf>
    <xf numFmtId="0" fontId="10" fillId="5" borderId="1" applyAlignment="1" pivotButton="0" quotePrefix="0" xfId="0">
      <alignment horizontal="left" vertical="center" indent="1"/>
    </xf>
    <xf numFmtId="0" fontId="0" fillId="5" borderId="2" applyAlignment="1" pivotButton="0" quotePrefix="0" xfId="0">
      <alignment horizontal="general" vertical="bottom"/>
    </xf>
    <xf numFmtId="0" fontId="10" fillId="6" borderId="1" applyAlignment="1" pivotButton="0" quotePrefix="0" xfId="0">
      <alignment horizontal="left" vertical="center" indent="1"/>
    </xf>
    <xf numFmtId="0" fontId="15" fillId="0" borderId="0" applyAlignment="1" pivotButton="0" quotePrefix="0" xfId="0">
      <alignment horizontal="general" vertical="bottom"/>
    </xf>
    <xf numFmtId="0" fontId="24" fillId="0" borderId="0" applyAlignment="1" pivotButton="0" quotePrefix="0" xfId="0">
      <alignment horizontal="general" vertical="bottom"/>
    </xf>
    <xf numFmtId="0" fontId="4" fillId="11" borderId="1" applyAlignment="1" pivotButton="0" quotePrefix="0" xfId="0">
      <alignment horizontal="center" vertical="center"/>
    </xf>
    <xf numFmtId="0" fontId="5" fillId="11" borderId="1" applyAlignment="1" pivotButton="0" quotePrefix="0" xfId="0">
      <alignment horizontal="left" vertical="center" indent="1"/>
    </xf>
    <xf numFmtId="0" fontId="15" fillId="5" borderId="2" applyAlignment="1" pivotButton="0" quotePrefix="0" xfId="0">
      <alignment horizontal="left" vertical="center" indent="1"/>
    </xf>
    <xf numFmtId="0" fontId="15" fillId="6" borderId="2" applyAlignment="1" pivotButton="0" quotePrefix="0" xfId="0">
      <alignment horizontal="left" vertical="center" indent="1"/>
    </xf>
    <xf numFmtId="165" fontId="24" fillId="6" borderId="2" applyAlignment="1" pivotButton="0" quotePrefix="0" xfId="0">
      <alignment horizontal="left" vertical="center" indent="1"/>
    </xf>
    <xf numFmtId="0" fontId="11" fillId="5" borderId="2" applyAlignment="1" pivotButton="0" quotePrefix="0" xfId="0">
      <alignment horizontal="center" vertical="center"/>
    </xf>
    <xf numFmtId="0" fontId="6" fillId="5" borderId="2" applyAlignment="1" pivotButton="0" quotePrefix="0" xfId="0">
      <alignment horizontal="center" vertical="center"/>
    </xf>
    <xf numFmtId="0" fontId="34" fillId="5" borderId="2" applyAlignment="1" pivotButton="0" quotePrefix="0" xfId="0">
      <alignment horizontal="center" vertical="center"/>
    </xf>
    <xf numFmtId="0" fontId="35" fillId="5" borderId="2" applyAlignment="1" pivotButton="0" quotePrefix="0" xfId="0">
      <alignment horizontal="center" vertical="center"/>
    </xf>
    <xf numFmtId="0" fontId="6" fillId="10" borderId="2" applyAlignment="1" pivotButton="0" quotePrefix="0" xfId="0">
      <alignment horizontal="center" vertical="center"/>
    </xf>
    <xf numFmtId="0" fontId="6" fillId="9" borderId="2" applyAlignment="1" pivotButton="0" quotePrefix="0" xfId="0">
      <alignment horizontal="center" vertical="center"/>
    </xf>
    <xf numFmtId="0" fontId="5" fillId="2" borderId="2" applyAlignment="1" pivotButton="0" quotePrefix="0" xfId="0">
      <alignment horizontal="center" vertical="center"/>
    </xf>
    <xf numFmtId="0" fontId="5" fillId="2" borderId="0" applyAlignment="1" pivotButton="0" quotePrefix="0" xfId="0">
      <alignment horizontal="general" vertical="bottom"/>
    </xf>
    <xf numFmtId="0" fontId="6" fillId="4" borderId="0" applyAlignment="1" pivotButton="0" quotePrefix="0" xfId="0">
      <alignment horizontal="general" vertical="bottom"/>
    </xf>
    <xf numFmtId="171" fontId="7" fillId="5" borderId="0" applyAlignment="1" pivotButton="0" quotePrefix="0" xfId="0">
      <alignment horizontal="general" vertical="bottom"/>
    </xf>
    <xf numFmtId="0" fontId="7" fillId="5" borderId="0" applyAlignment="1" pivotButton="0" quotePrefix="0" xfId="0">
      <alignment horizontal="general" vertical="bottom"/>
    </xf>
    <xf numFmtId="171" fontId="7" fillId="8" borderId="0" applyAlignment="1" pivotButton="0" quotePrefix="0" xfId="0">
      <alignment horizontal="general" vertical="bottom"/>
    </xf>
    <xf numFmtId="0" fontId="6" fillId="0" borderId="0" applyAlignment="1" pivotButton="0" quotePrefix="0" xfId="0">
      <alignment horizontal="general" vertical="bottom"/>
    </xf>
    <xf numFmtId="0" fontId="36" fillId="0" borderId="0" applyAlignment="1" pivotButton="0" quotePrefix="0" xfId="0">
      <alignment horizontal="general" vertical="bottom"/>
    </xf>
    <xf numFmtId="0" fontId="21" fillId="3" borderId="0" applyAlignment="1" pivotButton="0" quotePrefix="0" xfId="0">
      <alignment horizontal="center" vertical="center"/>
    </xf>
    <xf numFmtId="0" fontId="37" fillId="3" borderId="0" applyAlignment="1" pivotButton="0" quotePrefix="0" xfId="0">
      <alignment horizontal="center" vertical="center"/>
    </xf>
    <xf numFmtId="0" fontId="6" fillId="9" borderId="0" applyAlignment="1" pivotButton="0" quotePrefix="0" xfId="0">
      <alignment horizontal="left" vertical="center"/>
    </xf>
    <xf numFmtId="0" fontId="24" fillId="0" borderId="0" applyAlignment="1" pivotButton="0" quotePrefix="0" xfId="0">
      <alignment horizontal="left" vertical="center"/>
    </xf>
    <xf numFmtId="0" fontId="8" fillId="0" borderId="0" applyAlignment="1" pivotButton="0" quotePrefix="0" xfId="0">
      <alignment horizontal="left" vertical="center"/>
    </xf>
    <xf numFmtId="165" fontId="24" fillId="0" borderId="0" applyAlignment="1" pivotButton="0" quotePrefix="0" xfId="0">
      <alignment horizontal="left" vertical="center"/>
    </xf>
    <xf numFmtId="0" fontId="8" fillId="0" borderId="0" applyAlignment="1" pivotButton="0" quotePrefix="0" xfId="0">
      <alignment horizontal="left" vertical="top" wrapText="1"/>
    </xf>
    <xf numFmtId="0" fontId="12" fillId="0" borderId="0" applyAlignment="1" pivotButton="0" quotePrefix="0" xfId="0">
      <alignment horizontal="left" vertical="top" wrapText="1"/>
    </xf>
    <xf numFmtId="0" fontId="12" fillId="0" borderId="0" applyAlignment="1" pivotButton="0" quotePrefix="0" xfId="0">
      <alignment horizontal="center" vertical="center"/>
    </xf>
    <xf numFmtId="0" fontId="0" fillId="9" borderId="0" applyAlignment="1" pivotButton="0" quotePrefix="0" xfId="0">
      <alignment horizontal="center" vertical="center"/>
    </xf>
    <xf numFmtId="169" fontId="34" fillId="9" borderId="0" applyAlignment="1" pivotButton="0" quotePrefix="0" xfId="0">
      <alignment horizontal="right" vertical="center"/>
    </xf>
    <xf numFmtId="0" fontId="5" fillId="7" borderId="0" applyAlignment="1" pivotButton="0" quotePrefix="0" xfId="0">
      <alignment horizontal="general" vertical="bottom"/>
    </xf>
    <xf numFmtId="0" fontId="0" fillId="7" borderId="0" applyAlignment="1" pivotButton="0" quotePrefix="0" xfId="0">
      <alignment horizontal="center" vertical="center"/>
    </xf>
    <xf numFmtId="169" fontId="5" fillId="7" borderId="0" applyAlignment="1" pivotButton="0" quotePrefix="0" xfId="0">
      <alignment horizontal="right" vertical="center"/>
    </xf>
    <xf numFmtId="0" fontId="0" fillId="2" borderId="0" applyAlignment="1" pivotButton="0" quotePrefix="0" xfId="0">
      <alignment horizontal="center" vertical="center"/>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12" fillId="0" borderId="0" applyAlignment="1" pivotButton="0" quotePrefix="0" xfId="0">
      <alignment horizontal="right" vertical="center"/>
    </xf>
    <xf numFmtId="169" fontId="34" fillId="0" borderId="0" applyAlignment="1" pivotButton="0" quotePrefix="0" xfId="0">
      <alignment horizontal="right" vertical="center"/>
    </xf>
    <xf numFmtId="0" fontId="12" fillId="0" borderId="0" applyAlignment="1" pivotButton="0" quotePrefix="0" xfId="0">
      <alignment horizontal="right" vertical="center"/>
    </xf>
    <xf numFmtId="0" fontId="6" fillId="9" borderId="0" applyAlignment="1" pivotButton="0" quotePrefix="0" xfId="0">
      <alignment horizontal="general" vertical="bottom"/>
    </xf>
    <xf numFmtId="0" fontId="36" fillId="0" borderId="0" applyAlignment="1" pivotButton="0" quotePrefix="0" xfId="0">
      <alignment horizontal="left" vertical="top" wrapText="1"/>
    </xf>
    <xf numFmtId="0" fontId="6" fillId="0" borderId="0" applyAlignment="1" pivotButton="0" quotePrefix="0" xfId="0">
      <alignment horizontal="left" vertical="center"/>
    </xf>
    <xf numFmtId="0" fontId="12" fillId="0" borderId="0" applyAlignment="1" pivotButton="0" quotePrefix="0" xfId="0">
      <alignment horizontal="left" vertical="center"/>
    </xf>
    <xf numFmtId="165" fontId="24" fillId="0" borderId="0" applyAlignment="1" pivotButton="0" quotePrefix="0" xfId="0">
      <alignment horizontal="right" vertical="center"/>
    </xf>
    <xf numFmtId="0" fontId="12"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0" fillId="0" borderId="3" pivotButton="0" quotePrefix="0" xfId="0"/>
    <xf numFmtId="0" fontId="5" fillId="3" borderId="1" applyAlignment="1" pivotButton="0" quotePrefix="0" xfId="0">
      <alignment horizontal="left" vertical="center" indent="1"/>
    </xf>
    <xf numFmtId="0" fontId="6" fillId="4" borderId="2" applyAlignment="1" pivotButton="0" quotePrefix="0" xfId="0">
      <alignment horizontal="center" vertical="center"/>
    </xf>
    <xf numFmtId="0" fontId="7" fillId="5" borderId="2" applyAlignment="1" pivotButton="0" quotePrefix="0" xfId="0">
      <alignment horizontal="left" vertical="center" indent="1"/>
    </xf>
    <xf numFmtId="164" fontId="7" fillId="5" borderId="2" applyAlignment="1" applyProtection="1" pivotButton="0" quotePrefix="0" xfId="0">
      <alignment horizontal="right" vertical="center"/>
      <protection locked="0" hidden="0"/>
    </xf>
    <xf numFmtId="0" fontId="8" fillId="5" borderId="2" applyAlignment="1" pivotButton="0" quotePrefix="0" xfId="0">
      <alignment horizontal="left" vertical="center" indent="1"/>
    </xf>
    <xf numFmtId="0" fontId="8" fillId="0" borderId="0" applyAlignment="1" pivotButton="0" quotePrefix="0" xfId="0">
      <alignment horizontal="general" vertical="bottom"/>
    </xf>
    <xf numFmtId="165" fontId="7" fillId="0"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applyProtection="1" pivotButton="0" quotePrefix="0" xfId="0">
      <alignment horizontal="general" vertical="bottom"/>
      <protection locked="0" hidden="0"/>
    </xf>
    <xf numFmtId="0" fontId="12" fillId="0" borderId="0" applyAlignment="1" pivotButton="0" quotePrefix="0" xfId="0">
      <alignment horizontal="general" vertical="bottom"/>
    </xf>
    <xf numFmtId="0" fontId="0" fillId="0" borderId="3" applyAlignment="1" pivotButton="0" quotePrefix="0" xfId="0">
      <alignment horizontal="general" vertical="bottom"/>
    </xf>
    <xf numFmtId="0" fontId="8" fillId="6" borderId="2" applyAlignment="1" pivotButton="0" quotePrefix="0" xfId="0">
      <alignment horizontal="left" vertical="center" indent="1"/>
    </xf>
    <xf numFmtId="0" fontId="13" fillId="2" borderId="0" applyAlignment="1" pivotButton="0" quotePrefix="0" xfId="0">
      <alignment horizontal="center" vertical="center"/>
    </xf>
    <xf numFmtId="165" fontId="14" fillId="6" borderId="0" applyAlignment="1" pivotButton="0" quotePrefix="0" xfId="0">
      <alignment horizontal="center" vertical="center"/>
    </xf>
    <xf numFmtId="0" fontId="5" fillId="7" borderId="0" applyAlignment="1" pivotButton="0" quotePrefix="0" xfId="0">
      <alignment horizontal="left" vertical="bottom" indent="1"/>
    </xf>
    <xf numFmtId="0" fontId="6" fillId="4" borderId="0" applyAlignment="1" pivotButton="0" quotePrefix="0" xfId="0">
      <alignment horizontal="center" vertical="bottom"/>
    </xf>
    <xf numFmtId="0" fontId="15" fillId="8" borderId="0" applyAlignment="1" pivotButton="0" quotePrefix="0" xfId="0">
      <alignment horizontal="general" vertical="bottom"/>
    </xf>
    <xf numFmtId="0" fontId="16" fillId="8" borderId="0" applyAlignment="1" pivotButton="0" quotePrefix="0" xfId="0">
      <alignment horizontal="general" vertical="bottom"/>
    </xf>
    <xf numFmtId="164" fontId="17" fillId="8" borderId="0" applyAlignment="1" pivotButton="0" quotePrefix="0" xfId="0">
      <alignment horizontal="general" vertical="bottom"/>
    </xf>
    <xf numFmtId="164" fontId="10" fillId="8" borderId="0" applyAlignment="1" pivotButton="0" quotePrefix="0" xfId="0">
      <alignment horizontal="general" vertical="bottom"/>
    </xf>
    <xf numFmtId="0" fontId="10" fillId="8" borderId="0" applyAlignment="1" pivotButton="0" quotePrefix="0" xfId="0">
      <alignment horizontal="general" vertical="bottom"/>
    </xf>
    <xf numFmtId="0" fontId="15" fillId="5" borderId="0" applyAlignment="1" pivotButton="0" quotePrefix="0" xfId="0">
      <alignment horizontal="general" vertical="bottom"/>
    </xf>
    <xf numFmtId="0" fontId="16" fillId="5" borderId="0" applyAlignment="1" pivotButton="0" quotePrefix="0" xfId="0">
      <alignment horizontal="general" vertical="bottom"/>
    </xf>
    <xf numFmtId="164" fontId="17" fillId="5" borderId="0" applyAlignment="1" pivotButton="0" quotePrefix="0" xfId="0">
      <alignment horizontal="general" vertical="bottom"/>
    </xf>
    <xf numFmtId="164" fontId="10" fillId="5" borderId="0" applyAlignment="1" pivotButton="0" quotePrefix="0" xfId="0">
      <alignment horizontal="general" vertical="bottom"/>
    </xf>
    <xf numFmtId="0" fontId="10" fillId="5" borderId="0" applyAlignment="1" pivotButton="0" quotePrefix="0" xfId="0">
      <alignment horizontal="general" vertical="bottom"/>
    </xf>
    <xf numFmtId="166" fontId="17" fillId="8" borderId="0" applyAlignment="1" pivotButton="0" quotePrefix="0" xfId="0">
      <alignment horizontal="general" vertical="bottom"/>
    </xf>
    <xf numFmtId="0" fontId="18" fillId="8" borderId="0" applyAlignment="1" pivotButton="0" quotePrefix="0" xfId="0">
      <alignment horizontal="center" vertical="bottom"/>
    </xf>
    <xf numFmtId="167" fontId="17" fillId="5" borderId="0" applyAlignment="1" pivotButton="0" quotePrefix="0" xfId="0">
      <alignment horizontal="general" vertical="bottom"/>
    </xf>
    <xf numFmtId="0" fontId="18" fillId="5" borderId="0" applyAlignment="1" pivotButton="0" quotePrefix="0" xfId="0">
      <alignment horizontal="center" vertical="bottom"/>
    </xf>
    <xf numFmtId="0" fontId="0" fillId="5" borderId="0" applyAlignment="1" pivotButton="0" quotePrefix="0" xfId="0">
      <alignment horizontal="general" vertical="bottom"/>
    </xf>
    <xf numFmtId="168" fontId="15" fillId="5" borderId="0" applyAlignment="1" pivotButton="0" quotePrefix="0" xfId="0">
      <alignment horizontal="general" vertical="bottom"/>
    </xf>
    <xf numFmtId="168" fontId="10" fillId="5" borderId="0" applyAlignment="1" pivotButton="0" quotePrefix="0" xfId="0">
      <alignment horizontal="general" vertical="bottom"/>
    </xf>
    <xf numFmtId="0" fontId="0" fillId="8" borderId="0" applyAlignment="1" pivotButton="0" quotePrefix="0" xfId="0">
      <alignment horizontal="general" vertical="bottom"/>
    </xf>
    <xf numFmtId="168" fontId="15" fillId="8" borderId="0" applyAlignment="1" pivotButton="0" quotePrefix="0" xfId="0">
      <alignment horizontal="general" vertical="bottom"/>
    </xf>
    <xf numFmtId="168" fontId="10" fillId="8" borderId="0" applyAlignment="1" pivotButton="0" quotePrefix="0" xfId="0">
      <alignment horizontal="general" vertical="bottom"/>
    </xf>
    <xf numFmtId="0" fontId="19" fillId="6" borderId="0" applyAlignment="1" pivotButton="0" quotePrefix="0" xfId="0">
      <alignment horizontal="general" vertical="bottom"/>
    </xf>
    <xf numFmtId="0" fontId="20" fillId="2" borderId="0" applyAlignment="1" pivotButton="0" quotePrefix="0" xfId="0">
      <alignment horizontal="center" vertical="center"/>
    </xf>
    <xf numFmtId="0" fontId="12" fillId="4" borderId="0" applyAlignment="1" pivotButton="0" quotePrefix="0" xfId="0">
      <alignment horizontal="left" vertical="center"/>
    </xf>
    <xf numFmtId="0" fontId="5" fillId="3" borderId="0" applyAlignment="1" pivotButton="0" quotePrefix="0" xfId="0">
      <alignment horizontal="left" vertical="center"/>
    </xf>
    <xf numFmtId="0" fontId="5" fillId="3" borderId="0" applyAlignment="1" pivotButton="0" quotePrefix="0" xfId="0">
      <alignment horizontal="center" vertical="center"/>
    </xf>
    <xf numFmtId="169" fontId="11" fillId="0" borderId="0" applyAlignment="1" applyProtection="1" pivotButton="0" quotePrefix="0" xfId="0">
      <alignment horizontal="right" vertical="center"/>
      <protection locked="0" hidden="0"/>
    </xf>
    <xf numFmtId="0" fontId="6" fillId="9" borderId="0" applyAlignment="1" pivotButton="0" quotePrefix="0" xfId="0">
      <alignment horizontal="general" vertical="bottom"/>
    </xf>
    <xf numFmtId="169" fontId="6" fillId="9" borderId="0" applyAlignment="1" pivotButton="0" quotePrefix="0" xfId="0">
      <alignment horizontal="right" vertical="center"/>
    </xf>
    <xf numFmtId="0" fontId="0" fillId="9" borderId="0" applyAlignment="1" pivotButton="0" quotePrefix="0" xfId="0">
      <alignment horizontal="general" vertical="bottom"/>
    </xf>
    <xf numFmtId="0" fontId="21" fillId="2" borderId="0" applyAlignment="1" pivotButton="0" quotePrefix="0" xfId="0">
      <alignment horizontal="general" vertical="bottom"/>
    </xf>
    <xf numFmtId="169" fontId="21" fillId="2" borderId="0" applyAlignment="1" pivotButton="0" quotePrefix="0" xfId="0">
      <alignment horizontal="right" vertical="center"/>
    </xf>
    <xf numFmtId="0" fontId="0" fillId="2" borderId="0" applyAlignment="1" pivotButton="0" quotePrefix="0" xfId="0">
      <alignment horizontal="general" vertical="bottom"/>
    </xf>
    <xf numFmtId="0" fontId="6" fillId="4" borderId="0" applyAlignment="1" pivotButton="0" quotePrefix="0" xfId="0">
      <alignment horizontal="right" vertical="center"/>
    </xf>
    <xf numFmtId="169" fontId="6" fillId="4" borderId="0" applyAlignment="1" pivotButton="0" quotePrefix="0" xfId="0">
      <alignment horizontal="right" vertical="center"/>
    </xf>
    <xf numFmtId="0" fontId="7" fillId="0" borderId="4" applyAlignment="1" applyProtection="1" pivotButton="0" quotePrefix="0" xfId="0">
      <alignment horizontal="center" vertical="center"/>
      <protection locked="0" hidden="0"/>
    </xf>
    <xf numFmtId="0" fontId="7" fillId="0" borderId="4" applyAlignment="1" applyProtection="1" pivotButton="0" quotePrefix="0" xfId="0">
      <alignment horizontal="general" vertical="bottom"/>
      <protection locked="0" hidden="0"/>
    </xf>
    <xf numFmtId="169" fontId="7" fillId="0" borderId="4" applyAlignment="1" applyProtection="1" pivotButton="0" quotePrefix="0" xfId="0">
      <alignment horizontal="right" vertical="center"/>
      <protection locked="0" hidden="0"/>
    </xf>
    <xf numFmtId="169" fontId="8" fillId="0" borderId="4" applyAlignment="1" pivotButton="0" quotePrefix="0" xfId="0">
      <alignment horizontal="right" vertical="center"/>
    </xf>
    <xf numFmtId="0" fontId="21" fillId="2" borderId="0" applyAlignment="1" pivotButton="0" quotePrefix="0" xfId="0">
      <alignment horizontal="right" vertical="center"/>
    </xf>
    <xf numFmtId="0" fontId="21" fillId="2" borderId="0" applyAlignment="1" pivotButton="0" quotePrefix="0" xfId="0">
      <alignment horizontal="center" vertical="center"/>
    </xf>
    <xf numFmtId="0" fontId="22" fillId="6" borderId="0" applyAlignment="1" pivotButton="0" quotePrefix="0" xfId="0">
      <alignment horizontal="left" vertical="center"/>
    </xf>
    <xf numFmtId="0" fontId="23" fillId="6" borderId="0" applyAlignment="1" pivotButton="0" quotePrefix="0" xfId="0">
      <alignment horizontal="right" vertical="center"/>
    </xf>
    <xf numFmtId="169" fontId="6" fillId="6" borderId="0" applyAlignment="1" pivotButton="0" quotePrefix="0" xfId="0">
      <alignment horizontal="right" vertical="center"/>
    </xf>
    <xf numFmtId="0" fontId="8" fillId="6" borderId="0" applyAlignment="1" pivotButton="0" quotePrefix="0" xfId="0">
      <alignment horizontal="left" vertical="center"/>
    </xf>
    <xf numFmtId="0" fontId="5" fillId="7" borderId="5" applyAlignment="1" pivotButton="0" quotePrefix="0" xfId="0">
      <alignment horizontal="center" vertical="center"/>
    </xf>
    <xf numFmtId="0" fontId="5" fillId="7" borderId="5" applyAlignment="1" pivotButton="0" quotePrefix="0" xfId="0">
      <alignment horizontal="left" vertical="center"/>
    </xf>
    <xf numFmtId="0" fontId="18" fillId="0" borderId="5" applyAlignment="1" pivotButton="0" quotePrefix="0" xfId="0">
      <alignment horizontal="center" vertical="center"/>
    </xf>
    <xf numFmtId="0" fontId="24" fillId="0" borderId="5" applyAlignment="1" pivotButton="0" quotePrefix="0" xfId="0">
      <alignment horizontal="left" vertical="center"/>
    </xf>
    <xf numFmtId="169" fontId="8" fillId="0" borderId="5" applyAlignment="1" pivotButton="0" quotePrefix="0" xfId="0">
      <alignment horizontal="right" vertical="center"/>
    </xf>
    <xf numFmtId="0" fontId="24" fillId="0" borderId="5" applyAlignment="1" pivotButton="0" quotePrefix="0" xfId="0">
      <alignment horizontal="center" vertical="center"/>
    </xf>
    <xf numFmtId="0" fontId="8" fillId="2" borderId="5" applyAlignment="1" pivotButton="0" quotePrefix="0" xfId="0">
      <alignment horizontal="left" vertical="center"/>
    </xf>
    <xf numFmtId="0" fontId="5" fillId="2" borderId="5" applyAlignment="1" pivotButton="0" quotePrefix="0" xfId="0">
      <alignment horizontal="left" vertical="center"/>
    </xf>
    <xf numFmtId="169" fontId="5" fillId="2" borderId="5" applyAlignment="1" pivotButton="0" quotePrefix="0" xfId="0">
      <alignment horizontal="right" vertical="center"/>
    </xf>
    <xf numFmtId="0" fontId="25" fillId="2" borderId="1" applyAlignment="1" pivotButton="0" quotePrefix="0" xfId="0">
      <alignment horizontal="center" vertical="center"/>
    </xf>
    <xf numFmtId="0" fontId="5" fillId="2" borderId="0" applyAlignment="1" pivotButton="0" quotePrefix="0" xfId="0">
      <alignment horizontal="center" vertical="bottom"/>
    </xf>
    <xf numFmtId="168" fontId="7" fillId="0" borderId="0" applyAlignment="1" pivotButton="0" quotePrefix="0" xfId="0">
      <alignment horizontal="general" vertical="bottom"/>
    </xf>
    <xf numFmtId="169" fontId="24" fillId="5" borderId="2" applyAlignment="1" pivotButton="0" quotePrefix="0" xfId="0">
      <alignment horizontal="right" vertical="center"/>
    </xf>
    <xf numFmtId="169" fontId="11" fillId="5" borderId="0" applyAlignment="1" applyProtection="1" pivotButton="0" quotePrefix="0" xfId="0">
      <alignment horizontal="general" vertical="bottom"/>
      <protection locked="0" hidden="0"/>
    </xf>
    <xf numFmtId="164" fontId="8" fillId="5" borderId="0" applyAlignment="1" pivotButton="0" quotePrefix="0" xfId="0">
      <alignment horizontal="general" vertical="bottom"/>
    </xf>
    <xf numFmtId="0" fontId="6" fillId="9" borderId="2" applyAlignment="1" pivotButton="0" quotePrefix="0" xfId="0">
      <alignment horizontal="left" vertical="center" indent="1"/>
    </xf>
    <xf numFmtId="169" fontId="6" fillId="9" borderId="2" applyAlignment="1" pivotButton="0" quotePrefix="0" xfId="0">
      <alignment horizontal="right" vertical="center"/>
    </xf>
    <xf numFmtId="169" fontId="11" fillId="9" borderId="0" applyAlignment="1" applyProtection="1" pivotButton="0" quotePrefix="0" xfId="0">
      <alignment horizontal="general" vertical="bottom"/>
      <protection locked="0" hidden="0"/>
    </xf>
    <xf numFmtId="164" fontId="8" fillId="9" borderId="0" applyAlignment="1" pivotButton="0" quotePrefix="0" xfId="0">
      <alignment horizontal="general" vertical="bottom"/>
    </xf>
    <xf numFmtId="169" fontId="11" fillId="0" borderId="0" applyAlignment="1" applyProtection="1" pivotButton="0" quotePrefix="0" xfId="0">
      <alignment horizontal="general" vertical="bottom"/>
      <protection locked="0" hidden="0"/>
    </xf>
    <xf numFmtId="0" fontId="5" fillId="7" borderId="2" applyAlignment="1" pivotButton="0" quotePrefix="0" xfId="0">
      <alignment horizontal="left" vertical="center" indent="1"/>
    </xf>
    <xf numFmtId="169" fontId="5" fillId="7" borderId="2" applyAlignment="1" pivotButton="0" quotePrefix="0" xfId="0">
      <alignment horizontal="right" vertical="center"/>
    </xf>
    <xf numFmtId="169" fontId="11" fillId="7" borderId="0" applyAlignment="1" applyProtection="1" pivotButton="0" quotePrefix="0" xfId="0">
      <alignment horizontal="general" vertical="bottom"/>
      <protection locked="0" hidden="0"/>
    </xf>
    <xf numFmtId="164" fontId="8" fillId="7" borderId="0" applyAlignment="1" pivotButton="0" quotePrefix="0" xfId="0">
      <alignment horizontal="general" vertical="bottom"/>
    </xf>
    <xf numFmtId="169" fontId="24" fillId="6" borderId="2" applyAlignment="1" pivotButton="0" quotePrefix="0" xfId="0">
      <alignment horizontal="right" vertical="center"/>
    </xf>
    <xf numFmtId="169" fontId="11" fillId="6" borderId="0" applyAlignment="1" applyProtection="1" pivotButton="0" quotePrefix="0" xfId="0">
      <alignment horizontal="general" vertical="bottom"/>
      <protection locked="0" hidden="0"/>
    </xf>
    <xf numFmtId="164" fontId="8" fillId="6" borderId="0" applyAlignment="1" pivotButton="0" quotePrefix="0" xfId="0">
      <alignment horizontal="general" vertical="bottom"/>
    </xf>
    <xf numFmtId="0" fontId="5" fillId="7" borderId="2" applyAlignment="1" pivotButton="0" quotePrefix="0" xfId="0">
      <alignment horizontal="general" vertical="bottom"/>
    </xf>
    <xf numFmtId="169" fontId="8" fillId="5" borderId="2" applyAlignment="1" pivotButton="0" quotePrefix="0" xfId="0">
      <alignment horizontal="right" vertical="center"/>
    </xf>
    <xf numFmtId="0" fontId="5" fillId="2" borderId="2" applyAlignment="1" pivotButton="0" quotePrefix="0" xfId="0">
      <alignment horizontal="general" vertical="bottom"/>
    </xf>
    <xf numFmtId="169" fontId="5" fillId="2" borderId="2" applyAlignment="1" pivotButton="0" quotePrefix="0" xfId="0">
      <alignment horizontal="right" vertical="center"/>
    </xf>
    <xf numFmtId="169" fontId="11" fillId="2" borderId="0" applyAlignment="1" applyProtection="1" pivotButton="0" quotePrefix="0" xfId="0">
      <alignment horizontal="general" vertical="bottom"/>
      <protection locked="0" hidden="0"/>
    </xf>
    <xf numFmtId="164" fontId="8" fillId="2" borderId="0" applyAlignment="1" pivotButton="0" quotePrefix="0" xfId="0">
      <alignment horizontal="general" vertical="bottom"/>
    </xf>
    <xf numFmtId="169" fontId="24" fillId="5" borderId="2" applyAlignment="1" pivotButton="0" quotePrefix="0" xfId="0">
      <alignment horizontal="left" vertical="center" indent="1"/>
    </xf>
    <xf numFmtId="168" fontId="11" fillId="0" borderId="0" applyAlignment="1" applyProtection="1" pivotButton="0" quotePrefix="0" xfId="0">
      <alignment horizontal="general" vertical="bottom"/>
      <protection locked="0" hidden="0"/>
    </xf>
    <xf numFmtId="0" fontId="21" fillId="2" borderId="2" applyAlignment="1" pivotButton="0" quotePrefix="0" xfId="0">
      <alignment horizontal="general" vertical="bottom"/>
    </xf>
    <xf numFmtId="169" fontId="21" fillId="2" borderId="2" applyAlignment="1" pivotButton="0" quotePrefix="0" xfId="0">
      <alignment horizontal="right" vertical="center"/>
    </xf>
    <xf numFmtId="168" fontId="7" fillId="2" borderId="0" applyAlignment="1" pivotButton="0" quotePrefix="0" xfId="0">
      <alignment horizontal="general" vertical="bottom"/>
    </xf>
    <xf numFmtId="0" fontId="6" fillId="4" borderId="2" applyAlignment="1" pivotButton="0" quotePrefix="0" xfId="0">
      <alignment horizontal="left" vertical="center" indent="1"/>
    </xf>
    <xf numFmtId="169" fontId="7" fillId="5" borderId="2" applyAlignment="1" applyProtection="1" pivotButton="0" quotePrefix="0" xfId="0">
      <alignment horizontal="right" vertical="center"/>
      <protection locked="0" hidden="0"/>
    </xf>
    <xf numFmtId="0" fontId="16" fillId="5" borderId="2" applyAlignment="1" pivotButton="0" quotePrefix="0" xfId="0">
      <alignment horizontal="left" vertical="center" indent="1"/>
    </xf>
    <xf numFmtId="0" fontId="0" fillId="0" borderId="6" pivotButton="0" quotePrefix="0" xfId="0"/>
    <xf numFmtId="169" fontId="8" fillId="5" borderId="2" applyAlignment="1" pivotButton="0" quotePrefix="0" xfId="0">
      <alignment horizontal="left" vertical="center" indent="1"/>
    </xf>
    <xf numFmtId="164" fontId="24" fillId="5" borderId="2" applyAlignment="1" pivotButton="0" quotePrefix="0" xfId="0">
      <alignment horizontal="left" vertical="center" indent="1"/>
    </xf>
    <xf numFmtId="0" fontId="0" fillId="0" borderId="6" applyAlignment="1" pivotButton="0" quotePrefix="0" xfId="0">
      <alignment horizontal="general" vertical="bottom"/>
    </xf>
    <xf numFmtId="169" fontId="8" fillId="0" borderId="0" applyAlignment="1" pivotButton="0" quotePrefix="0" xfId="0">
      <alignment horizontal="right" vertical="center"/>
    </xf>
    <xf numFmtId="0" fontId="16" fillId="6" borderId="2" applyAlignment="1" pivotButton="0" quotePrefix="0" xfId="0">
      <alignment horizontal="left" vertical="center" indent="1"/>
    </xf>
    <xf numFmtId="0" fontId="0" fillId="6" borderId="2" applyAlignment="1" pivotButton="0" quotePrefix="0" xfId="0">
      <alignment horizontal="general" vertical="bottom"/>
    </xf>
    <xf numFmtId="169" fontId="29" fillId="6" borderId="2" applyAlignment="1" pivotButton="0" quotePrefix="0" xfId="0">
      <alignment horizontal="right" vertical="center"/>
    </xf>
    <xf numFmtId="0" fontId="5" fillId="7" borderId="1" applyAlignment="1" pivotButton="0" quotePrefix="0" xfId="0">
      <alignment horizontal="left" vertical="center" indent="1"/>
    </xf>
    <xf numFmtId="0" fontId="8" fillId="5" borderId="2" applyAlignment="1" pivotButton="0" quotePrefix="0" xfId="0">
      <alignment horizontal="left" vertical="center" indent="3"/>
    </xf>
    <xf numFmtId="0" fontId="8" fillId="6" borderId="2" applyAlignment="1" pivotButton="0" quotePrefix="0" xfId="0">
      <alignment horizontal="left" vertical="center" indent="3"/>
    </xf>
    <xf numFmtId="168" fontId="24" fillId="0" borderId="0" applyAlignment="1" pivotButton="0" quotePrefix="0" xfId="0">
      <alignment horizontal="general" vertical="bottom"/>
    </xf>
    <xf numFmtId="169" fontId="8" fillId="5" borderId="2" applyAlignment="1" applyProtection="1" pivotButton="0" quotePrefix="0" xfId="0">
      <alignment horizontal="right" vertical="center"/>
      <protection locked="0" hidden="0"/>
    </xf>
    <xf numFmtId="169" fontId="24" fillId="0" borderId="0" applyAlignment="1" pivotButton="0" quotePrefix="0" xfId="0">
      <alignment horizontal="right" vertical="center"/>
    </xf>
    <xf numFmtId="169" fontId="8" fillId="6" borderId="2" applyAlignment="1" applyProtection="1" pivotButton="0" quotePrefix="0" xfId="0">
      <alignment horizontal="right" vertical="center"/>
      <protection locked="0" hidden="0"/>
    </xf>
    <xf numFmtId="0" fontId="30" fillId="0" borderId="0" applyAlignment="1" pivotButton="0" quotePrefix="0" xfId="0">
      <alignment horizontal="general" vertical="bottom"/>
    </xf>
    <xf numFmtId="169" fontId="0" fillId="0" borderId="0" applyAlignment="1" pivotButton="0" quotePrefix="0" xfId="0">
      <alignment horizontal="general" vertical="bottom"/>
    </xf>
    <xf numFmtId="0" fontId="11" fillId="0" borderId="0" applyAlignment="1" pivotButton="0" quotePrefix="0" xfId="0">
      <alignment horizontal="general" vertical="bottom"/>
    </xf>
    <xf numFmtId="0" fontId="31" fillId="0" borderId="0" applyAlignment="1" pivotButton="0" quotePrefix="0" xfId="0">
      <alignment horizontal="general" vertical="bottom"/>
    </xf>
    <xf numFmtId="169" fontId="24" fillId="0" borderId="0" applyAlignment="1" pivotButton="0" quotePrefix="0" xfId="0">
      <alignment horizontal="general" vertical="bottom"/>
    </xf>
    <xf numFmtId="0" fontId="22" fillId="6" borderId="0" applyAlignment="1" pivotButton="0" quotePrefix="0" xfId="0">
      <alignment horizontal="left" vertical="center" wrapText="1"/>
    </xf>
    <xf numFmtId="0" fontId="8" fillId="0" borderId="5" applyAlignment="1" pivotButton="0" quotePrefix="0" xfId="0">
      <alignment horizontal="left" vertical="center"/>
    </xf>
    <xf numFmtId="169" fontId="24" fillId="0" borderId="5" applyAlignment="1" pivotButton="0" quotePrefix="0" xfId="0">
      <alignment horizontal="right" vertical="center"/>
    </xf>
    <xf numFmtId="0" fontId="22" fillId="0" borderId="5" applyAlignment="1" pivotButton="0" quotePrefix="0" xfId="0">
      <alignment horizontal="left" vertical="center"/>
    </xf>
    <xf numFmtId="0" fontId="5" fillId="7" borderId="0" applyAlignment="1" pivotButton="0" quotePrefix="0" xfId="0">
      <alignment horizontal="left" vertical="center" wrapText="1"/>
    </xf>
    <xf numFmtId="169" fontId="7" fillId="10" borderId="5" applyAlignment="1" pivotButton="0" quotePrefix="0" xfId="0">
      <alignment horizontal="right" vertical="center"/>
    </xf>
    <xf numFmtId="0" fontId="32" fillId="6" borderId="0" applyAlignment="1" pivotButton="0" quotePrefix="0" xfId="0">
      <alignment horizontal="left" vertical="center"/>
    </xf>
    <xf numFmtId="0" fontId="33" fillId="3" borderId="1" applyAlignment="1" pivotButton="0" quotePrefix="0" xfId="0">
      <alignment horizontal="center" vertical="center"/>
    </xf>
    <xf numFmtId="0" fontId="5" fillId="7" borderId="2" applyAlignment="1" pivotButton="0" quotePrefix="0" xfId="0">
      <alignment horizontal="center" vertical="center"/>
    </xf>
    <xf numFmtId="0" fontId="16" fillId="6" borderId="1" applyAlignment="1" pivotButton="0" quotePrefix="0" xfId="0">
      <alignment horizontal="left" vertical="center" indent="1"/>
    </xf>
    <xf numFmtId="0" fontId="7" fillId="5" borderId="2" applyAlignment="1" applyProtection="1" pivotButton="0" quotePrefix="0" xfId="0">
      <alignment horizontal="left" vertical="center" indent="1"/>
      <protection locked="0" hidden="0"/>
    </xf>
    <xf numFmtId="170" fontId="7" fillId="5" borderId="2" applyAlignment="1" applyProtection="1" pivotButton="0" quotePrefix="0" xfId="0">
      <alignment horizontal="left" vertical="center" indent="1"/>
      <protection locked="0" hidden="0"/>
    </xf>
    <xf numFmtId="0" fontId="7" fillId="5" borderId="2" applyAlignment="1" applyProtection="1" pivotButton="0" quotePrefix="0" xfId="0">
      <alignment horizontal="right" vertical="center"/>
      <protection locked="0" hidden="0"/>
    </xf>
    <xf numFmtId="0" fontId="0" fillId="5" borderId="2" applyAlignment="1" applyProtection="1" pivotButton="0" quotePrefix="0" xfId="0">
      <alignment horizontal="left" vertical="center" indent="1"/>
      <protection locked="0" hidden="0"/>
    </xf>
    <xf numFmtId="0" fontId="7" fillId="6" borderId="2" applyAlignment="1" pivotButton="0" quotePrefix="0" xfId="0">
      <alignment horizontal="left" vertical="center" indent="1"/>
    </xf>
    <xf numFmtId="0" fontId="7" fillId="6" borderId="2" applyAlignment="1" applyProtection="1" pivotButton="0" quotePrefix="0" xfId="0">
      <alignment horizontal="left" vertical="center" indent="1"/>
      <protection locked="0" hidden="0"/>
    </xf>
    <xf numFmtId="170" fontId="7" fillId="6" borderId="2" applyAlignment="1" applyProtection="1" pivotButton="0" quotePrefix="0" xfId="0">
      <alignment horizontal="left" vertical="center" indent="1"/>
      <protection locked="0" hidden="0"/>
    </xf>
    <xf numFmtId="169" fontId="7" fillId="6" borderId="2" applyAlignment="1" applyProtection="1" pivotButton="0" quotePrefix="0" xfId="0">
      <alignment horizontal="right" vertical="center"/>
      <protection locked="0" hidden="0"/>
    </xf>
    <xf numFmtId="0" fontId="7" fillId="6" borderId="2" applyAlignment="1" applyProtection="1" pivotButton="0" quotePrefix="0" xfId="0">
      <alignment horizontal="right" vertical="center"/>
      <protection locked="0" hidden="0"/>
    </xf>
    <xf numFmtId="164" fontId="7" fillId="6" borderId="2" applyAlignment="1" applyProtection="1" pivotButton="0" quotePrefix="0" xfId="0">
      <alignment horizontal="right" vertical="center"/>
      <protection locked="0" hidden="0"/>
    </xf>
    <xf numFmtId="169" fontId="8" fillId="6" borderId="2" applyAlignment="1" pivotButton="0" quotePrefix="0" xfId="0">
      <alignment horizontal="right" vertical="center"/>
    </xf>
    <xf numFmtId="0" fontId="0" fillId="6" borderId="2" applyAlignment="1" applyProtection="1" pivotButton="0" quotePrefix="0" xfId="0">
      <alignment horizontal="left" vertical="center" indent="1"/>
      <protection locked="0" hidden="0"/>
    </xf>
    <xf numFmtId="0" fontId="7" fillId="8" borderId="0" applyAlignment="1" pivotButton="0" quotePrefix="0" xfId="0">
      <alignment horizontal="general" vertical="bottom"/>
    </xf>
    <xf numFmtId="168" fontId="7" fillId="8" borderId="0" applyAlignment="1" applyProtection="1" pivotButton="0" quotePrefix="0" xfId="0">
      <alignment horizontal="general" vertical="bottom"/>
      <protection locked="0" hidden="0"/>
    </xf>
    <xf numFmtId="0" fontId="7" fillId="8" borderId="0" applyAlignment="1" applyProtection="1" pivotButton="0" quotePrefix="0" xfId="0">
      <alignment horizontal="general" vertical="bottom"/>
      <protection locked="0" hidden="0"/>
    </xf>
    <xf numFmtId="10" fontId="7" fillId="8" borderId="0" applyAlignment="1" applyProtection="1" pivotButton="0" quotePrefix="0" xfId="0">
      <alignment horizontal="general" vertical="bottom"/>
      <protection locked="0" hidden="0"/>
    </xf>
    <xf numFmtId="168" fontId="8" fillId="8" borderId="0" applyAlignment="1" pivotButton="0" quotePrefix="0" xfId="0">
      <alignment horizontal="general" vertical="bottom"/>
    </xf>
    <xf numFmtId="0" fontId="0" fillId="8" borderId="0" applyAlignment="1" applyProtection="1" pivotButton="0" quotePrefix="0" xfId="0">
      <alignment horizontal="general" vertical="bottom"/>
      <protection locked="0" hidden="0"/>
    </xf>
    <xf numFmtId="0" fontId="7" fillId="6" borderId="0" applyAlignment="1" pivotButton="0" quotePrefix="0" xfId="0">
      <alignment horizontal="general" vertical="bottom"/>
    </xf>
    <xf numFmtId="0" fontId="7" fillId="6" borderId="0" applyAlignment="1" applyProtection="1" pivotButton="0" quotePrefix="0" xfId="0">
      <alignment horizontal="general" vertical="bottom"/>
      <protection locked="0" hidden="0"/>
    </xf>
    <xf numFmtId="168" fontId="7" fillId="6" borderId="0" applyAlignment="1" applyProtection="1" pivotButton="0" quotePrefix="0" xfId="0">
      <alignment horizontal="general" vertical="bottom"/>
      <protection locked="0" hidden="0"/>
    </xf>
    <xf numFmtId="10" fontId="7" fillId="6" borderId="0" applyAlignment="1" applyProtection="1" pivotButton="0" quotePrefix="0" xfId="0">
      <alignment horizontal="general" vertical="bottom"/>
      <protection locked="0" hidden="0"/>
    </xf>
    <xf numFmtId="168" fontId="8" fillId="6" borderId="0" applyAlignment="1" pivotButton="0" quotePrefix="0" xfId="0">
      <alignment horizontal="general" vertical="bottom"/>
    </xf>
    <xf numFmtId="0" fontId="0" fillId="6" borderId="0" applyAlignment="1" applyProtection="1" pivotButton="0" quotePrefix="0" xfId="0">
      <alignment horizontal="general" vertical="bottom"/>
      <protection locked="0" hidden="0"/>
    </xf>
    <xf numFmtId="0" fontId="0" fillId="0" borderId="0" applyAlignment="1" applyProtection="1" pivotButton="0" quotePrefix="0" xfId="0">
      <alignment horizontal="general" vertical="bottom"/>
      <protection locked="0" hidden="0"/>
    </xf>
    <xf numFmtId="168" fontId="8" fillId="0" borderId="0" applyAlignment="1" pivotButton="0" quotePrefix="0" xfId="0">
      <alignment horizontal="general" vertical="bottom"/>
    </xf>
    <xf numFmtId="0" fontId="6" fillId="9" borderId="2" applyAlignment="1" pivotButton="0" quotePrefix="0" xfId="0">
      <alignment horizontal="right" vertical="center"/>
    </xf>
    <xf numFmtId="0" fontId="5" fillId="7" borderId="1" applyAlignment="1" pivotButton="0" quotePrefix="0" xfId="0">
      <alignment horizontal="center" vertical="center"/>
    </xf>
    <xf numFmtId="0" fontId="10" fillId="5" borderId="2" applyAlignment="1" pivotButton="0" quotePrefix="0" xfId="0">
      <alignment horizontal="left" vertical="center" indent="1"/>
    </xf>
    <xf numFmtId="0" fontId="10" fillId="6" borderId="2" applyAlignment="1" pivotButton="0" quotePrefix="0" xfId="0">
      <alignment horizontal="left" vertical="center" indent="1"/>
    </xf>
    <xf numFmtId="0" fontId="5" fillId="2" borderId="2" applyAlignment="1" pivotButton="0" quotePrefix="0" xfId="0">
      <alignment horizontal="left" vertical="center" indent="1"/>
    </xf>
    <xf numFmtId="0" fontId="8" fillId="5" borderId="2" applyAlignment="1" pivotButton="0" quotePrefix="0" xfId="0">
      <alignment horizontal="center" vertical="center"/>
    </xf>
    <xf numFmtId="170" fontId="7" fillId="5" borderId="2" applyAlignment="1" applyProtection="1" pivotButton="0" quotePrefix="0" xfId="0">
      <alignment horizontal="center" vertical="center"/>
      <protection locked="0" hidden="0"/>
    </xf>
    <xf numFmtId="165" fontId="24" fillId="5" borderId="2" applyAlignment="1" pivotButton="0" quotePrefix="0" xfId="0">
      <alignment horizontal="right" vertical="center"/>
    </xf>
    <xf numFmtId="0" fontId="8" fillId="6" borderId="2" applyAlignment="1" pivotButton="0" quotePrefix="0" xfId="0">
      <alignment horizontal="center" vertical="center"/>
    </xf>
    <xf numFmtId="170" fontId="7" fillId="6" borderId="2" applyAlignment="1" applyProtection="1" pivotButton="0" quotePrefix="0" xfId="0">
      <alignment horizontal="center" vertical="center"/>
      <protection locked="0" hidden="0"/>
    </xf>
    <xf numFmtId="165" fontId="24" fillId="6" borderId="2" applyAlignment="1" pivotButton="0" quotePrefix="0" xfId="0">
      <alignment horizontal="right" vertical="center"/>
    </xf>
    <xf numFmtId="0" fontId="7" fillId="0" borderId="0" applyAlignment="1" applyProtection="1" pivotButton="0" quotePrefix="0" xfId="0">
      <alignment horizontal="general" vertical="bottom"/>
      <protection locked="0" hidden="0"/>
    </xf>
    <xf numFmtId="168" fontId="7" fillId="0" borderId="0" applyAlignment="1" applyProtection="1" pivotButton="0" quotePrefix="0" xfId="0">
      <alignment horizontal="general" vertical="bottom"/>
      <protection locked="0" hidden="0"/>
    </xf>
    <xf numFmtId="165" fontId="24" fillId="0" borderId="0" applyAlignment="1" pivotButton="0" quotePrefix="0" xfId="0">
      <alignment horizontal="general" vertical="bottom"/>
    </xf>
    <xf numFmtId="0" fontId="6" fillId="9" borderId="2" applyAlignment="1" pivotButton="0" quotePrefix="0" xfId="0">
      <alignment horizontal="general" vertical="bottom"/>
    </xf>
    <xf numFmtId="0" fontId="15" fillId="9" borderId="2" applyAlignment="1" pivotButton="0" quotePrefix="0" xfId="0">
      <alignment horizontal="left" vertical="center" indent="1"/>
    </xf>
    <xf numFmtId="0" fontId="10" fillId="5" borderId="1" applyAlignment="1" pivotButton="0" quotePrefix="0" xfId="0">
      <alignment horizontal="left" vertical="center" indent="1"/>
    </xf>
    <xf numFmtId="0" fontId="0" fillId="5" borderId="2" applyAlignment="1" pivotButton="0" quotePrefix="0" xfId="0">
      <alignment horizontal="general" vertical="bottom"/>
    </xf>
    <xf numFmtId="0" fontId="10" fillId="6" borderId="1" applyAlignment="1" pivotButton="0" quotePrefix="0" xfId="0">
      <alignment horizontal="left" vertical="center" indent="1"/>
    </xf>
    <xf numFmtId="0" fontId="15" fillId="0" borderId="0" applyAlignment="1" pivotButton="0" quotePrefix="0" xfId="0">
      <alignment horizontal="general" vertical="bottom"/>
    </xf>
    <xf numFmtId="0" fontId="24" fillId="0" borderId="0" applyAlignment="1" pivotButton="0" quotePrefix="0" xfId="0">
      <alignment horizontal="general" vertical="bottom"/>
    </xf>
    <xf numFmtId="0" fontId="4" fillId="11" borderId="1" applyAlignment="1" pivotButton="0" quotePrefix="0" xfId="0">
      <alignment horizontal="center" vertical="center"/>
    </xf>
    <xf numFmtId="0" fontId="5" fillId="11" borderId="1" applyAlignment="1" pivotButton="0" quotePrefix="0" xfId="0">
      <alignment horizontal="left" vertical="center" indent="1"/>
    </xf>
    <xf numFmtId="0" fontId="15" fillId="5" borderId="2" applyAlignment="1" pivotButton="0" quotePrefix="0" xfId="0">
      <alignment horizontal="left" vertical="center" indent="1"/>
    </xf>
    <xf numFmtId="0" fontId="15" fillId="6" borderId="2" applyAlignment="1" pivotButton="0" quotePrefix="0" xfId="0">
      <alignment horizontal="left" vertical="center" indent="1"/>
    </xf>
    <xf numFmtId="165" fontId="24" fillId="6" borderId="2" applyAlignment="1" pivotButton="0" quotePrefix="0" xfId="0">
      <alignment horizontal="left" vertical="center" indent="1"/>
    </xf>
    <xf numFmtId="0" fontId="11" fillId="5" borderId="2" applyAlignment="1" pivotButton="0" quotePrefix="0" xfId="0">
      <alignment horizontal="center" vertical="center"/>
    </xf>
    <xf numFmtId="0" fontId="6" fillId="5" borderId="2" applyAlignment="1" pivotButton="0" quotePrefix="0" xfId="0">
      <alignment horizontal="center" vertical="center"/>
    </xf>
    <xf numFmtId="0" fontId="34" fillId="5" borderId="2" applyAlignment="1" pivotButton="0" quotePrefix="0" xfId="0">
      <alignment horizontal="center" vertical="center"/>
    </xf>
    <xf numFmtId="0" fontId="35" fillId="5" borderId="2" applyAlignment="1" pivotButton="0" quotePrefix="0" xfId="0">
      <alignment horizontal="center" vertical="center"/>
    </xf>
    <xf numFmtId="0" fontId="6" fillId="10" borderId="2" applyAlignment="1" pivotButton="0" quotePrefix="0" xfId="0">
      <alignment horizontal="center" vertical="center"/>
    </xf>
    <xf numFmtId="0" fontId="6" fillId="9" borderId="2" applyAlignment="1" pivotButton="0" quotePrefix="0" xfId="0">
      <alignment horizontal="center" vertical="center"/>
    </xf>
    <xf numFmtId="0" fontId="5" fillId="2" borderId="2" applyAlignment="1" pivotButton="0" quotePrefix="0" xfId="0">
      <alignment horizontal="center" vertical="center"/>
    </xf>
    <xf numFmtId="0" fontId="5" fillId="2" borderId="0" applyAlignment="1" pivotButton="0" quotePrefix="0" xfId="0">
      <alignment horizontal="general" vertical="bottom"/>
    </xf>
    <xf numFmtId="0" fontId="6" fillId="4" borderId="0" applyAlignment="1" pivotButton="0" quotePrefix="0" xfId="0">
      <alignment horizontal="general" vertical="bottom"/>
    </xf>
    <xf numFmtId="171" fontId="7" fillId="5" borderId="0" applyAlignment="1" pivotButton="0" quotePrefix="0" xfId="0">
      <alignment horizontal="general" vertical="bottom"/>
    </xf>
    <xf numFmtId="0" fontId="7" fillId="5" borderId="0" applyAlignment="1" pivotButton="0" quotePrefix="0" xfId="0">
      <alignment horizontal="general" vertical="bottom"/>
    </xf>
    <xf numFmtId="171" fontId="7" fillId="8" borderId="0" applyAlignment="1" pivotButton="0" quotePrefix="0" xfId="0">
      <alignment horizontal="general" vertical="bottom"/>
    </xf>
    <xf numFmtId="0" fontId="6" fillId="0" borderId="0" applyAlignment="1" pivotButton="0" quotePrefix="0" xfId="0">
      <alignment horizontal="general" vertical="bottom"/>
    </xf>
    <xf numFmtId="0" fontId="36" fillId="0" borderId="0" applyAlignment="1" pivotButton="0" quotePrefix="0" xfId="0">
      <alignment horizontal="general" vertical="bottom"/>
    </xf>
    <xf numFmtId="0" fontId="21" fillId="3" borderId="0" applyAlignment="1" pivotButton="0" quotePrefix="0" xfId="0">
      <alignment horizontal="center" vertical="center"/>
    </xf>
    <xf numFmtId="0" fontId="37" fillId="3" borderId="0" applyAlignment="1" pivotButton="0" quotePrefix="0" xfId="0">
      <alignment horizontal="center" vertical="center"/>
    </xf>
    <xf numFmtId="0" fontId="6" fillId="9" borderId="0" applyAlignment="1" pivotButton="0" quotePrefix="0" xfId="0">
      <alignment horizontal="left" vertical="center"/>
    </xf>
    <xf numFmtId="0" fontId="24" fillId="0" borderId="0" applyAlignment="1" pivotButton="0" quotePrefix="0" xfId="0">
      <alignment horizontal="left" vertical="center"/>
    </xf>
    <xf numFmtId="0" fontId="8" fillId="0" borderId="0" applyAlignment="1" pivotButton="0" quotePrefix="0" xfId="0">
      <alignment horizontal="left" vertical="center"/>
    </xf>
    <xf numFmtId="165" fontId="24" fillId="0" borderId="0" applyAlignment="1" pivotButton="0" quotePrefix="0" xfId="0">
      <alignment horizontal="left" vertical="center"/>
    </xf>
    <xf numFmtId="0" fontId="8" fillId="0" borderId="0" applyAlignment="1" pivotButton="0" quotePrefix="0" xfId="0">
      <alignment horizontal="left" vertical="top" wrapText="1"/>
    </xf>
    <xf numFmtId="0" fontId="12" fillId="0" borderId="0" applyAlignment="1" pivotButton="0" quotePrefix="0" xfId="0">
      <alignment horizontal="left" vertical="top" wrapText="1"/>
    </xf>
    <xf numFmtId="0" fontId="12" fillId="0" borderId="0" applyAlignment="1" pivotButton="0" quotePrefix="0" xfId="0">
      <alignment horizontal="center" vertical="center"/>
    </xf>
    <xf numFmtId="0" fontId="0" fillId="9" borderId="0" applyAlignment="1" pivotButton="0" quotePrefix="0" xfId="0">
      <alignment horizontal="center" vertical="center"/>
    </xf>
    <xf numFmtId="169" fontId="34" fillId="9" borderId="0" applyAlignment="1" pivotButton="0" quotePrefix="0" xfId="0">
      <alignment horizontal="right" vertical="center"/>
    </xf>
    <xf numFmtId="0" fontId="5" fillId="7" borderId="0" applyAlignment="1" pivotButton="0" quotePrefix="0" xfId="0">
      <alignment horizontal="general" vertical="bottom"/>
    </xf>
    <xf numFmtId="0" fontId="0" fillId="7" borderId="0" applyAlignment="1" pivotButton="0" quotePrefix="0" xfId="0">
      <alignment horizontal="center" vertical="center"/>
    </xf>
    <xf numFmtId="169" fontId="5" fillId="7" borderId="0" applyAlignment="1" pivotButton="0" quotePrefix="0" xfId="0">
      <alignment horizontal="right" vertical="center"/>
    </xf>
    <xf numFmtId="0" fontId="0" fillId="2" borderId="0" applyAlignment="1" pivotButton="0" quotePrefix="0" xfId="0">
      <alignment horizontal="center" vertical="center"/>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12" fillId="0" borderId="0" applyAlignment="1" pivotButton="0" quotePrefix="0" xfId="0">
      <alignment horizontal="right" vertical="center"/>
    </xf>
    <xf numFmtId="169" fontId="34" fillId="0" borderId="0" applyAlignment="1" pivotButton="0" quotePrefix="0" xfId="0">
      <alignment horizontal="right" vertical="center"/>
    </xf>
    <xf numFmtId="0" fontId="36" fillId="0" borderId="0" applyAlignment="1" pivotButton="0" quotePrefix="0" xfId="0">
      <alignment horizontal="left" vertical="top" wrapText="1"/>
    </xf>
    <xf numFmtId="0" fontId="6" fillId="0" borderId="0" applyAlignment="1" pivotButton="0" quotePrefix="0" xfId="0">
      <alignment horizontal="left" vertical="center"/>
    </xf>
    <xf numFmtId="0" fontId="12" fillId="0" borderId="0" applyAlignment="1" pivotButton="0" quotePrefix="0" xfId="0">
      <alignment horizontal="left" vertical="center"/>
    </xf>
    <xf numFmtId="165" fontId="24" fillId="0" borderId="0" applyAlignment="1" pivotButton="0" quotePrefix="0" xfId="0">
      <alignment horizontal="right"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b val="1"/>
        <color rgb="FF006100"/>
      </font>
      <fill>
        <patternFill>
          <bgColor rgb="FFC6EFCE"/>
        </patternFill>
      </fill>
    </dxf>
    <dxf>
      <font>
        <b val="1"/>
        <color rgb="FF9C0006"/>
      </font>
      <fill>
        <patternFill>
          <bgColor rgb="FFFFC7CE"/>
        </patternFill>
      </fill>
    </dxf>
    <dxf>
      <font>
        <b val="1"/>
        <color rgb="FFC00000"/>
      </font>
      <fill>
        <patternFill>
          <bgColor rgb="FFFCE4D6"/>
        </patternFill>
      </fill>
    </dxf>
    <dxf>
      <font>
        <b val="1"/>
        <color rgb="FF375623"/>
      </font>
      <fill>
        <patternFill>
          <bgColor rgb="FFE2EFDA"/>
        </patternFill>
      </fill>
    </dxf>
    <dxf>
      <font>
        <b val="1"/>
        <color rgb="FF7F4B00"/>
      </font>
      <fill>
        <patternFill>
          <bgColor rgb="FFFFEB9C"/>
        </patternFill>
      </fill>
    </dxf>
  </dxfs>
  <colors>
    <indexedColors>
      <rgbColor rgb="FF000000"/>
      <rgbColor rgb="FFFFFFFF"/>
      <rgbColor rgb="FFC00000"/>
      <rgbColor rgb="FF00FF00"/>
      <rgbColor rgb="FF0000FF"/>
      <rgbColor rgb="FFF9F9F9"/>
      <rgbColor rgb="FFFF00FF"/>
      <rgbColor rgb="FF00FFFF"/>
      <rgbColor rgb="FF9C0006"/>
      <rgbColor rgb="FF008000"/>
      <rgbColor rgb="FF000080"/>
      <rgbColor rgb="FF808000"/>
      <rgbColor rgb="FF800080"/>
      <rgbColor rgb="FF008080"/>
      <rgbColor rgb="FFBFBFBF"/>
      <rgbColor rgb="FF808080"/>
      <rgbColor rgb="FFD9E1F2"/>
      <rgbColor rgb="FF7030A0"/>
      <rgbColor rgb="FFFFF2CC"/>
      <rgbColor rgb="FFE2EFDA"/>
      <rgbColor rgb="FF660066"/>
      <rgbColor rgb="FFFF8080"/>
      <rgbColor rgb="FF0066CC"/>
      <rgbColor rgb="FFBDD7EE"/>
      <rgbColor rgb="FF000080"/>
      <rgbColor rgb="FFFF00FF"/>
      <rgbColor rgb="FFFAFAFA"/>
      <rgbColor rgb="FF00FFFF"/>
      <rgbColor rgb="FF800080"/>
      <rgbColor rgb="FF800000"/>
      <rgbColor rgb="FF008080"/>
      <rgbColor rgb="FF0000FF"/>
      <rgbColor rgb="FF00CCFF"/>
      <rgbColor rgb="FFF2F2F2"/>
      <rgbColor rgb="FFC6EFCE"/>
      <rgbColor rgb="FFFFEB9C"/>
      <rgbColor rgb="FFD0D0D0"/>
      <rgbColor rgb="FFD9D9D9"/>
      <rgbColor rgb="FFB3B3B3"/>
      <rgbColor rgb="FFFFC7CE"/>
      <rgbColor rgb="FF4472C4"/>
      <rgbColor rgb="FF33CCCC"/>
      <rgbColor rgb="FF9BBB59"/>
      <rgbColor rgb="FFFCE4D6"/>
      <rgbColor rgb="FFFF9900"/>
      <rgbColor rgb="FFFF6600"/>
      <rgbColor rgb="FF595959"/>
      <rgbColor rgb="FF878787"/>
      <rgbColor rgb="FF1F3864"/>
      <rgbColor rgb="FF4F81BD"/>
      <rgbColor rgb="FF006100"/>
      <rgbColor rgb="FF333300"/>
      <rgbColor rgb="FF7F4B00"/>
      <rgbColor rgb="FFC0504D"/>
      <rgbColor rgb="FF2E4B8A"/>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Revenue Breakdown</a:t>
            </a:r>
          </a:p>
        </rich>
      </tx>
      <overlay val="0"/>
      <spPr>
        <a:noFill xmlns:a="http://schemas.openxmlformats.org/drawingml/2006/main"/>
        <a:ln xmlns:a="http://schemas.openxmlformats.org/drawingml/2006/main" w="0">
          <a:noFill/>
          <a:prstDash val="solid"/>
        </a:ln>
      </spPr>
    </title>
    <plotArea>
      <pieChart>
        <varyColors val="1"/>
        <ser>
          <idx val="0"/>
          <order val="0"/>
          <spPr>
            <a:solidFill xmlns:a="http://schemas.openxmlformats.org/drawingml/2006/main">
              <a:srgbClr val="4f81bd"/>
            </a:solidFill>
            <a:ln xmlns:a="http://schemas.openxmlformats.org/drawingml/2006/main" w="9360">
              <a:solidFill>
                <a:srgbClr val="f9f9f9"/>
              </a:solidFill>
              <a:prstDash val="solid"/>
              <a:round/>
            </a:ln>
          </spPr>
          <explosion val="0"/>
          <dPt>
            <idx val="0"/>
            <spPr>
              <a:solidFill xmlns:a="http://schemas.openxmlformats.org/drawingml/2006/main">
                <a:srgbClr val="4f81bd"/>
              </a:solidFill>
              <a:ln xmlns:a="http://schemas.openxmlformats.org/drawingml/2006/main" w="9360">
                <a:solidFill>
                  <a:srgbClr val="f9f9f9"/>
                </a:solidFill>
                <a:prstDash val="solid"/>
                <a:round/>
              </a:ln>
            </spPr>
          </dPt>
          <dPt>
            <idx val="1"/>
            <spPr>
              <a:solidFill xmlns:a="http://schemas.openxmlformats.org/drawingml/2006/main">
                <a:srgbClr val="c0504d"/>
              </a:solidFill>
              <a:ln xmlns:a="http://schemas.openxmlformats.org/drawingml/2006/main" w="9360">
                <a:solidFill>
                  <a:srgbClr val="f9f9f9"/>
                </a:solidFill>
                <a:prstDash val="solid"/>
                <a:round/>
              </a:ln>
            </spPr>
          </dPt>
          <dPt>
            <idx val="2"/>
            <spPr>
              <a:solidFill xmlns:a="http://schemas.openxmlformats.org/drawingml/2006/main">
                <a:srgbClr val="9bbb59"/>
              </a:solidFill>
              <a:ln xmlns:a="http://schemas.openxmlformats.org/drawingml/2006/main" w="9360">
                <a:solidFill>
                  <a:srgbClr val="f9f9f9"/>
                </a:solidFill>
                <a:prstDash val="solid"/>
                <a:round/>
              </a:ln>
            </spPr>
          </dPt>
          <dLbls>
            <dLbl>
              <idx val="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1"/>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2"/>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showLeaderLines val="1"/>
          </dLbls>
          <cat>
            <strRef>
              <f>'Income Statement'!$A$4:$A$6</f>
              <strCache>
                <ptCount val="3"/>
                <pt idx="0">
                  <v>Sales Revenue</v>
                </pt>
                <pt idx="1">
                  <v>Service Revenue</v>
                </pt>
                <pt idx="2">
                  <v>Other Income</v>
                </pt>
              </strCache>
            </strRef>
          </cat>
          <val>
            <numRef>
              <f>'Income Statement'!$C$4:$C$6</f>
              <numCache>
                <formatCode>"N$"#,##0;"(N$"#,##0\);\-</formatCode>
                <ptCount val="3"/>
                <pt idx="0">
                  <v>0</v>
                </pt>
                <pt idx="1">
                  <v>0</v>
                </pt>
                <pt idx="2">
                  <v>0</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Operating Expenses</a:t>
            </a:r>
          </a:p>
        </rich>
      </tx>
      <overlay val="0"/>
      <spPr>
        <a:noFill xmlns:a="http://schemas.openxmlformats.org/drawingml/2006/main"/>
        <a:ln xmlns:a="http://schemas.openxmlformats.org/drawingml/2006/main" w="0">
          <a:noFill/>
          <a:prstDash val="solid"/>
        </a:ln>
      </spPr>
    </title>
    <plotArea>
      <barChart>
        <barDir val="bar"/>
        <grouping val="clustered"/>
        <varyColors val="0"/>
        <ser>
          <idx val="0"/>
          <order val="0"/>
          <spPr>
            <a:solidFill xmlns:a="http://schemas.openxmlformats.org/drawingml/2006/main">
              <a:srgbClr val="4f81bd"/>
            </a:solidFill>
            <a:ln xmlns:a="http://schemas.openxmlformats.org/drawingml/2006/main" w="9360">
              <a:solidFill>
                <a:srgbClr val="f9f9f9"/>
              </a:solidFill>
              <a:prstDash val="solid"/>
              <a:roun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'Income Statement'!$A$14:$A$23</f>
              <strCache>
                <ptCount val="10"/>
                <pt idx="0">
                  <v>Salaries &amp; Wages</v>
                </pt>
                <pt idx="1">
                  <v>Rent Expense</v>
                </pt>
                <pt idx="2">
                  <v>Utilities Expense</v>
                </pt>
                <pt idx="3">
                  <v>Marketing &amp; Advertising</v>
                </pt>
                <pt idx="4">
                  <v>Depreciation Expense</v>
                </pt>
                <pt idx="5">
                  <v>Travel &amp; Entertainment</v>
                </pt>
                <pt idx="6">
                  <v>Professional Fees</v>
                </pt>
                <pt idx="7">
                  <v>Bank Charges</v>
                </pt>
                <pt idx="8">
                  <v>Fines &amp; Penalties</v>
                </pt>
                <pt idx="9">
                  <v>Entertainment (50%)</v>
                </pt>
              </strCache>
            </strRef>
          </cat>
          <val>
            <numRef>
              <f>'Income Statement'!$C$14:$C$23</f>
              <numCache>
                <formatCode>"N$"#,##0;"(N$"#,##0\);\-</formatCode>
                <ptCount val="10"/>
                <pt idx="0">
                  <v>0</v>
                </pt>
                <pt idx="1">
                  <v>0</v>
                </pt>
                <pt idx="2">
                  <v>0</v>
                </pt>
                <pt idx="3">
                  <v>0</v>
                </pt>
                <pt idx="4">
                  <v>0</v>
                </pt>
                <pt idx="5">
                  <v>0</v>
                </pt>
                <pt idx="6">
                  <v>0</v>
                </pt>
                <pt idx="7">
                  <v>0</v>
                </pt>
                <pt idx="8">
                  <v>0</v>
                </pt>
                <pt idx="9">
                  <v>0</v>
                </pt>
              </numCache>
            </numRef>
          </val>
        </ser>
        <gapWidth val="150"/>
        <overlap val="0"/>
        <axId val="84056158"/>
        <axId val="80175883"/>
      </barChart>
      <catAx>
        <axId val="84056158"/>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0175883"/>
        <crosses val="autoZero"/>
        <auto val="1"/>
        <lblAlgn val="ctr"/>
        <lblOffset val="100"/>
        <noMultiLvlLbl val="0"/>
      </catAx>
      <valAx>
        <axId val="8017588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NAD</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4056158"/>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Tax Computation Waterfall</a:t>
            </a:r>
          </a:p>
        </rich>
      </tx>
      <overlay val="0"/>
      <spPr>
        <a:noFill xmlns:a="http://schemas.openxmlformats.org/drawingml/2006/main"/>
        <a:ln xmlns:a="http://schemas.openxmlformats.org/drawingml/2006/main" w="0">
          <a:noFill/>
          <a:prstDash val="solid"/>
        </a:ln>
      </spPr>
    </title>
    <plotArea>
      <barChart>
        <barDir val="col"/>
        <grouping val="clustered"/>
        <varyColors val="0"/>
        <gapWidth val="150"/>
        <axId val="53688600"/>
        <axId val="2681487"/>
      </barChart>
      <catAx>
        <axId val="53688600"/>
        <scaling>
          <orientation val="minMax"/>
        </scaling>
        <delete val="0"/>
        <axPos val="b"/>
        <numFmt formatCode="General" sourceLinked="1"/>
        <majorTickMark val="none"/>
        <minorTickMark val="none"/>
        <spPr>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800" b="0" spc="-1"/>
            </a:pPr>
            <a:r>
              <a:t>None</a:t>
            </a:r>
          </a:p>
        </txPr>
        <crossAx val="2681487"/>
        <auto val="1"/>
        <lblAlgn val="ctr"/>
        <lblOffset val="100"/>
        <noMultiLvlLbl val="0"/>
      </catAx>
      <valAx>
        <axId val="2681487"/>
        <scaling>
          <orientation val="minMax"/>
        </scaling>
        <delete val="0"/>
        <axPos val="l"/>
        <numFmt formatCode="General" sourceLinked="1"/>
        <majorTickMark val="none"/>
        <minorTickMark val="none"/>
        <spPr>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800" b="0" spc="-1"/>
            </a:pPr>
            <a:r>
              <a:t>None</a:t>
            </a:r>
          </a:p>
        </txPr>
        <crossAx val="53688600"/>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Assets vs Liabilities &amp; Equity</a:t>
            </a:r>
          </a:p>
        </rich>
      </tx>
      <overlay val="0"/>
      <spPr>
        <a:noFill xmlns:a="http://schemas.openxmlformats.org/drawingml/2006/main"/>
        <a:ln xmlns:a="http://schemas.openxmlformats.org/drawingml/2006/main" w="0">
          <a:noFill/>
          <a:prstDash val="solid"/>
        </a:ln>
      </spPr>
    </title>
    <plotArea>
      <barChart>
        <barDir val="col"/>
        <grouping val="clustered"/>
        <varyColors val="0"/>
        <gapWidth val="150"/>
        <axId val="78142571"/>
        <axId val="92777986"/>
      </barChart>
      <catAx>
        <axId val="78142571"/>
        <scaling>
          <orientation val="minMax"/>
        </scaling>
        <delete val="0"/>
        <axPos val="b"/>
        <numFmt formatCode="General" sourceLinked="1"/>
        <majorTickMark val="none"/>
        <minorTickMark val="none"/>
        <spPr>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800" b="0" spc="-1"/>
            </a:pPr>
            <a:r>
              <a:t>None</a:t>
            </a:r>
          </a:p>
        </txPr>
        <crossAx val="92777986"/>
        <auto val="1"/>
        <lblAlgn val="ctr"/>
        <lblOffset val="100"/>
        <noMultiLvlLbl val="0"/>
      </catAx>
      <valAx>
        <axId val="92777986"/>
        <scaling>
          <orientation val="minMax"/>
        </scaling>
        <delete val="0"/>
        <axPos val="l"/>
        <numFmt formatCode="General" sourceLinked="1"/>
        <majorTickMark val="none"/>
        <minorTickMark val="none"/>
        <spPr>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800" b="0" spc="-1"/>
            </a:pPr>
            <a:r>
              <a:t>None</a:t>
            </a:r>
          </a:p>
        </txPr>
        <crossAx val="78142571"/>
        <crossBetween val="midCat"/>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Cash Flow by Activity</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spPr>
            <a:solidFill xmlns:a="http://schemas.openxmlformats.org/drawingml/2006/main">
              <a:srgbClr val="4f81bd"/>
            </a:solidFill>
            <a:ln xmlns:a="http://schemas.openxmlformats.org/drawingml/2006/main" w="9360">
              <a:solidFill>
                <a:srgbClr val="f9f9f9"/>
              </a:solidFill>
              <a:prstDash val="solid"/>
              <a:roun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'Cash Flow'!$A$37:$A$39</f>
              <strCache>
                <ptCount val="3"/>
                <pt idx="0">
                  <v>None</v>
                </pt>
                <pt idx="1">
                  <v>Operating</v>
                </pt>
                <pt idx="2">
                  <v>Investing</v>
                </pt>
              </strCache>
            </strRef>
          </cat>
          <val>
            <numRef>
              <f>'Cash Flow'!$B$37:$B$39</f>
              <numCache>
                <formatCode>"N$"#,##0;"(N$"#,##0\);\-</formatCode>
                <ptCount val="3"/>
                <pt idx="1">
                  <v>0</v>
                </pt>
                <pt idx="2">
                  <v>0</v>
                </pt>
              </numCache>
            </numRef>
          </val>
        </ser>
        <gapWidth val="150"/>
        <overlap val="0"/>
        <axId val="36295299"/>
        <axId val="64302926"/>
      </barChart>
      <catAx>
        <axId val="36295299"/>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4302926"/>
        <crosses val="autoZero"/>
        <auto val="1"/>
        <lblAlgn val="ctr"/>
        <lblOffset val="100"/>
        <noMultiLvlLbl val="0"/>
      </catAx>
      <valAx>
        <axId val="64302926"/>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NAD</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6295299"/>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Net Book Value by Asset</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'Asset Register'!J4</f>
              <strCache>
                <ptCount val="1"/>
                <pt idx="0">
                  <v>None</v>
                </pt>
              </strCache>
            </strRef>
          </tx>
          <spPr>
            <a:solidFill xmlns:a="http://schemas.openxmlformats.org/drawingml/2006/main">
              <a:srgbClr val="4f81bd"/>
            </a:solidFill>
            <a:ln xmlns:a="http://schemas.openxmlformats.org/drawingml/2006/main" w="0">
              <a:solidFill>
                <a:srgbClr val="000000"/>
              </a:solid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1"/>
          </dLbls>
          <cat>
            <strRef>
              <f>'Asset Register'!$B$5:$B$10</f>
              <strCache>
                <ptCount val="6"/>
                <pt idx="0">
                  <v>None</v>
                </pt>
                <pt idx="1">
                  <v>None</v>
                </pt>
                <pt idx="2">
                  <v>None</v>
                </pt>
                <pt idx="3">
                  <v>None</v>
                </pt>
                <pt idx="4">
                  <v>None</v>
                </pt>
                <pt idx="5">
                  <v>None</v>
                </pt>
              </strCache>
            </strRef>
          </cat>
          <val>
            <numRef>
              <f>'Asset Register'!$J$5:$J$10</f>
              <numCache>
                <formatCode>"N$"#,##0;"(N$"#,##0\);\-</formatCode>
                <ptCount val="6"/>
                <pt idx="0">
                  <v>0</v>
                </pt>
                <pt idx="1">
                  <v>0</v>
                </pt>
                <pt idx="2">
                  <v>0</v>
                </pt>
                <pt idx="3">
                  <v>0</v>
                </pt>
                <pt idx="4">
                  <v>0</v>
                </pt>
                <pt idx="5">
                  <v>0</v>
                </pt>
              </numCache>
            </numRef>
          </val>
        </ser>
        <gapWidth val="150"/>
        <overlap val="0"/>
        <axId val="92134165"/>
        <axId val="94954519"/>
      </barChart>
      <catAx>
        <axId val="92134165"/>
        <scaling>
          <orientation val="minMax"/>
        </scaling>
        <delete val="0"/>
        <axPos val="b"/>
        <numFmt formatCode="General"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94954519"/>
        <crosses val="autoZero"/>
        <auto val="1"/>
        <lblAlgn val="ctr"/>
        <lblOffset val="100"/>
        <noMultiLvlLbl val="0"/>
      </catAx>
      <valAx>
        <axId val="94954519"/>
        <scaling>
          <orientation val="minMax"/>
        </scaling>
        <delete val="0"/>
        <axPos val="l"/>
        <majorGridlines>
          <spPr>
            <a:ln xmlns:a="http://schemas.openxmlformats.org/drawingml/2006/main" w="0">
              <a:solidFill>
                <a:srgbClr val="b3b3b3"/>
              </a:solidFill>
              <a:prstDash val="solid"/>
            </a:ln>
          </spPr>
        </majorGridlines>
        <title>
          <tx>
            <rich>
              <a:bodyPr xmlns:a="http://schemas.openxmlformats.org/drawingml/2006/main" rot="-5400000"/>
              <a:lstStyle xmlns:a="http://schemas.openxmlformats.org/drawingml/2006/main"/>
              <a:p xmlns:a="http://schemas.openxmlformats.org/drawingml/2006/main">
                <a:pPr>
                  <a:defRPr sz="1000" b="1" strike="noStrike" spc="-1">
                    <a:solidFill>
                      <a:srgbClr val="000000"/>
                    </a:solidFill>
                    <a:latin typeface="Calibri"/>
                  </a:defRPr>
                </a:pPr>
                <a:r>
                  <a:rPr sz="1000" b="1" strike="noStrike" spc="-1">
                    <a:solidFill>
                      <a:srgbClr val="000000"/>
                    </a:solidFill>
                    <a:latin typeface="Calibri"/>
                  </a:rPr>
                  <a:t>NAD</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92134165"/>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editAs="oneCell">
    <from>
      <col>5</col>
      <colOff>0</colOff>
      <row>2</row>
      <rowOff>0</rowOff>
    </from>
    <to>
      <col>14</col>
      <colOff>250920</colOff>
      <row>24</row>
      <rowOff>123840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5</col>
      <colOff>0</colOff>
      <row>17</row>
      <rowOff>0</rowOff>
    </from>
    <to>
      <col>17</col>
      <colOff>576360</colOff>
      <row>42</row>
      <rowOff>186480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editAs="oneCell">
    <from>
      <col>5</col>
      <colOff>0</colOff>
      <row>2</row>
      <rowOff>0</rowOff>
    </from>
    <to>
      <col>15</col>
      <colOff>359280</colOff>
      <row>24</row>
      <rowOff>123840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5</col>
      <colOff>0</colOff>
      <row>3</row>
      <rowOff>0</rowOff>
    </from>
    <to>
      <col>15</col>
      <colOff>359640</colOff>
      <row>25</row>
      <rowOff>123840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editAs="oneCell">
    <from>
      <col>5</col>
      <colOff>0</colOff>
      <row>2</row>
      <rowOff>0</rowOff>
    </from>
    <to>
      <col>15</col>
      <colOff>359640</colOff>
      <row>24</row>
      <rowOff>123840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editAs="oneCell">
    <from>
      <col>13</col>
      <colOff>0</colOff>
      <row>3</row>
      <rowOff>0</rowOff>
    </from>
    <to>
      <col>25</col>
      <colOff>577080</colOff>
      <row>29</row>
      <rowOff>24840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filterMode="0">
    <outlinePr summaryBelow="1" summaryRight="1"/>
    <pageSetUpPr fitToPage="0"/>
  </sheetPr>
  <dimension ref="A1:E39"/>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8" customWidth="1" style="230" min="1" max="1"/>
    <col width="14" customWidth="1" style="230" min="2" max="2"/>
    <col width="12" customWidth="1" style="230" min="3" max="3"/>
    <col width="16" customWidth="1" style="230" min="4" max="4"/>
    <col width="20" customWidth="1" style="230" min="5" max="5"/>
  </cols>
  <sheetData>
    <row r="1" ht="30" customHeight="1" s="231">
      <c r="A1" s="232" t="inlineStr">
        <is>
          <t>SETTINGS &amp; CHART OF ACCOUNTS  |  Namibia Financial Model</t>
        </is>
      </c>
      <c r="B1" s="233" t="n"/>
      <c r="C1" s="233" t="n"/>
      <c r="D1" s="233" t="n"/>
      <c r="E1" s="233" t="n"/>
    </row>
    <row r="2" ht="15" customHeight="1" s="231">
      <c r="A2" s="234" t="inlineStr">
        <is>
          <t>GLOBAL CONSTANTS</t>
        </is>
      </c>
      <c r="B2" s="233" t="n"/>
      <c r="C2" s="233" t="n"/>
      <c r="D2" s="233" t="n"/>
      <c r="E2" s="233" t="n"/>
    </row>
    <row r="3" ht="15" customHeight="1" s="231">
      <c r="A3" s="235" t="inlineStr">
        <is>
          <t>Constant</t>
        </is>
      </c>
      <c r="B3" s="235" t="inlineStr">
        <is>
          <t>Value</t>
        </is>
      </c>
      <c r="C3" s="235" t="inlineStr">
        <is>
          <t>Notes</t>
        </is>
      </c>
    </row>
    <row r="4" ht="15" customHeight="1" s="231">
      <c r="A4" s="236" t="inlineStr">
        <is>
          <t>Corporate Tax Rate</t>
        </is>
      </c>
      <c r="B4" s="237" t="n">
        <v>0.3</v>
      </c>
      <c r="C4" s="238" t="inlineStr">
        <is>
          <t>NamRA standard rate</t>
        </is>
      </c>
    </row>
    <row r="5" ht="15" customHeight="1" s="231">
      <c r="A5" s="236" t="inlineStr">
        <is>
          <t>VAT Rate</t>
        </is>
      </c>
      <c r="B5" s="237" t="n">
        <v>0.15</v>
      </c>
      <c r="C5" s="238" t="inlineStr">
        <is>
          <t>Namibia VAT</t>
        </is>
      </c>
    </row>
    <row r="6" ht="15" customHeight="1" s="231">
      <c r="A6" s="239" t="inlineStr">
        <is>
          <t>Annual Interest Rate</t>
        </is>
      </c>
      <c r="B6" s="240" t="n">
        <v>0.1</v>
      </c>
      <c r="C6" s="241" t="inlineStr">
        <is>
          <t>Applied to Loans Payable balance for Interest Expense</t>
        </is>
      </c>
    </row>
    <row r="7" ht="15" customHeight="1" s="231">
      <c r="A7" s="242" t="inlineStr">
        <is>
          <t>Reporting Period</t>
        </is>
      </c>
      <c r="B7" s="243" t="inlineStr">
        <is>
          <t>31 December 2025</t>
        </is>
      </c>
      <c r="C7" s="230" t="inlineStr">
        <is>
          <t>Reporting date used in all statement headers (input)</t>
        </is>
      </c>
    </row>
    <row r="8" ht="15" customHeight="1" s="231">
      <c r="A8" s="242" t="inlineStr">
        <is>
          <t>Company Name</t>
        </is>
      </c>
      <c r="B8" s="243" t="inlineStr">
        <is>
          <t>Company Name (Pty) Ltd</t>
        </is>
      </c>
      <c r="C8" s="230" t="inlineStr">
        <is>
          <t>Legal entity name used in all statement headers (input)</t>
        </is>
      </c>
    </row>
    <row r="9" ht="15" customHeight="1" s="231">
      <c r="A9" s="239" t="inlineStr">
        <is>
          <t>Months in Period</t>
        </is>
      </c>
      <c r="B9" s="243" t="n">
        <v>12</v>
      </c>
      <c r="C9" s="244" t="inlineStr">
        <is>
          <t>Used to pro-rate interest expense (12 = full year)</t>
        </is>
      </c>
    </row>
    <row r="10" ht="15" customHeight="1" s="231">
      <c r="A10" s="234" t="inlineStr">
        <is>
          <t>CHART OF ACCOUNTS</t>
        </is>
      </c>
      <c r="B10" s="245" t="n"/>
      <c r="C10" s="245" t="n"/>
      <c r="D10" s="245" t="n"/>
      <c r="E10" s="245" t="n"/>
    </row>
    <row r="11" ht="15" customHeight="1" s="231">
      <c r="A11" s="235" t="inlineStr">
        <is>
          <t>Account Name</t>
        </is>
      </c>
      <c r="B11" s="235" t="inlineStr">
        <is>
          <t>Category</t>
        </is>
      </c>
      <c r="C11" s="235" t="inlineStr">
        <is>
          <t>Statement</t>
        </is>
      </c>
      <c r="D11" s="235" t="inlineStr">
        <is>
          <t>Normal Balance</t>
        </is>
      </c>
    </row>
    <row r="12" ht="15" customHeight="1" s="231">
      <c r="A12" s="238" t="inlineStr">
        <is>
          <t>Cash &amp; Cash Equivalents</t>
        </is>
      </c>
      <c r="B12" s="238" t="inlineStr">
        <is>
          <t>Asset</t>
        </is>
      </c>
      <c r="C12" s="238" t="inlineStr">
        <is>
          <t>BS</t>
        </is>
      </c>
      <c r="D12" s="238" t="inlineStr">
        <is>
          <t>Debit</t>
        </is>
      </c>
    </row>
    <row r="13" ht="15" customHeight="1" s="231">
      <c r="A13" s="246" t="inlineStr">
        <is>
          <t>Accounts Receivable</t>
        </is>
      </c>
      <c r="B13" s="246" t="inlineStr">
        <is>
          <t>Asset</t>
        </is>
      </c>
      <c r="C13" s="246" t="inlineStr">
        <is>
          <t>BS</t>
        </is>
      </c>
      <c r="D13" s="246" t="inlineStr">
        <is>
          <t>Debit</t>
        </is>
      </c>
    </row>
    <row r="14" ht="15" customHeight="1" s="231">
      <c r="A14" s="238" t="inlineStr">
        <is>
          <t>Inventory</t>
        </is>
      </c>
      <c r="B14" s="238" t="inlineStr">
        <is>
          <t>Asset</t>
        </is>
      </c>
      <c r="C14" s="238" t="inlineStr">
        <is>
          <t>BS</t>
        </is>
      </c>
      <c r="D14" s="238" t="inlineStr">
        <is>
          <t>Debit</t>
        </is>
      </c>
    </row>
    <row r="15" ht="15" customHeight="1" s="231">
      <c r="A15" s="246" t="inlineStr">
        <is>
          <t>Prepaid Expenses</t>
        </is>
      </c>
      <c r="B15" s="246" t="inlineStr">
        <is>
          <t>Asset</t>
        </is>
      </c>
      <c r="C15" s="246" t="inlineStr">
        <is>
          <t>BS</t>
        </is>
      </c>
      <c r="D15" s="246" t="inlineStr">
        <is>
          <t>Debit</t>
        </is>
      </c>
    </row>
    <row r="16" ht="15" customHeight="1" s="231">
      <c r="A16" s="238" t="inlineStr">
        <is>
          <t>Property, Plant &amp; Equipment</t>
        </is>
      </c>
      <c r="B16" s="238" t="inlineStr">
        <is>
          <t>Asset</t>
        </is>
      </c>
      <c r="C16" s="238" t="inlineStr">
        <is>
          <t>BS</t>
        </is>
      </c>
      <c r="D16" s="238" t="inlineStr">
        <is>
          <t>Debit</t>
        </is>
      </c>
    </row>
    <row r="17" ht="15" customHeight="1" s="231">
      <c r="A17" s="246" t="inlineStr">
        <is>
          <t>Accumulated Depreciation</t>
        </is>
      </c>
      <c r="B17" s="246" t="inlineStr">
        <is>
          <t>Asset</t>
        </is>
      </c>
      <c r="C17" s="246" t="inlineStr">
        <is>
          <t>BS</t>
        </is>
      </c>
      <c r="D17" s="246" t="inlineStr">
        <is>
          <t>Credit</t>
        </is>
      </c>
    </row>
    <row r="18" ht="15" customHeight="1" s="231">
      <c r="A18" s="238" t="inlineStr">
        <is>
          <t>Accounts Payable</t>
        </is>
      </c>
      <c r="B18" s="238" t="inlineStr">
        <is>
          <t>Liability</t>
        </is>
      </c>
      <c r="C18" s="238" t="inlineStr">
        <is>
          <t>BS</t>
        </is>
      </c>
      <c r="D18" s="238" t="inlineStr">
        <is>
          <t>Credit</t>
        </is>
      </c>
    </row>
    <row r="19" ht="15" customHeight="1" s="231">
      <c r="A19" s="246" t="inlineStr">
        <is>
          <t>VAT Payable</t>
        </is>
      </c>
      <c r="B19" s="246" t="inlineStr">
        <is>
          <t>Liability</t>
        </is>
      </c>
      <c r="C19" s="246" t="inlineStr">
        <is>
          <t>BS</t>
        </is>
      </c>
      <c r="D19" s="246" t="inlineStr">
        <is>
          <t>Credit</t>
        </is>
      </c>
    </row>
    <row r="20" ht="15" customHeight="1" s="231">
      <c r="A20" s="238" t="inlineStr">
        <is>
          <t>Income Tax Payable</t>
        </is>
      </c>
      <c r="B20" s="238" t="inlineStr">
        <is>
          <t>Liability</t>
        </is>
      </c>
      <c r="C20" s="238" t="inlineStr">
        <is>
          <t>BS</t>
        </is>
      </c>
      <c r="D20" s="238" t="inlineStr">
        <is>
          <t>Credit</t>
        </is>
      </c>
    </row>
    <row r="21" ht="15" customHeight="1" s="231">
      <c r="A21" s="246" t="inlineStr">
        <is>
          <t>Loans Payable</t>
        </is>
      </c>
      <c r="B21" s="246" t="inlineStr">
        <is>
          <t>Liability</t>
        </is>
      </c>
      <c r="C21" s="246" t="inlineStr">
        <is>
          <t>BS</t>
        </is>
      </c>
      <c r="D21" s="246" t="inlineStr">
        <is>
          <t>Credit</t>
        </is>
      </c>
    </row>
    <row r="22" ht="15" customHeight="1" s="231">
      <c r="A22" s="238" t="inlineStr">
        <is>
          <t>Accrued Liabilities</t>
        </is>
      </c>
      <c r="B22" s="238" t="inlineStr">
        <is>
          <t>Liability</t>
        </is>
      </c>
      <c r="C22" s="238" t="inlineStr">
        <is>
          <t>BS</t>
        </is>
      </c>
      <c r="D22" s="238" t="inlineStr">
        <is>
          <t>Credit</t>
        </is>
      </c>
    </row>
    <row r="23" ht="15" customHeight="1" s="231">
      <c r="A23" s="246" t="inlineStr">
        <is>
          <t>Share Capital</t>
        </is>
      </c>
      <c r="B23" s="246" t="inlineStr">
        <is>
          <t>Equity</t>
        </is>
      </c>
      <c r="C23" s="246" t="inlineStr">
        <is>
          <t>BS</t>
        </is>
      </c>
      <c r="D23" s="246" t="inlineStr">
        <is>
          <t>Credit</t>
        </is>
      </c>
    </row>
    <row r="24" ht="15" customHeight="1" s="231">
      <c r="A24" s="238" t="inlineStr">
        <is>
          <t>Retained Earnings</t>
        </is>
      </c>
      <c r="B24" s="238" t="inlineStr">
        <is>
          <t>Equity</t>
        </is>
      </c>
      <c r="C24" s="238" t="inlineStr">
        <is>
          <t>BS</t>
        </is>
      </c>
      <c r="D24" s="238" t="inlineStr">
        <is>
          <t>Credit</t>
        </is>
      </c>
    </row>
    <row r="25" ht="15" customHeight="1" s="231">
      <c r="A25" s="246" t="inlineStr">
        <is>
          <t>Sales Revenue</t>
        </is>
      </c>
      <c r="B25" s="246" t="inlineStr">
        <is>
          <t>Revenue</t>
        </is>
      </c>
      <c r="C25" s="246" t="inlineStr">
        <is>
          <t>IS</t>
        </is>
      </c>
      <c r="D25" s="246" t="inlineStr">
        <is>
          <t>Credit</t>
        </is>
      </c>
    </row>
    <row r="26" ht="15" customHeight="1" s="231">
      <c r="A26" s="238" t="inlineStr">
        <is>
          <t>Service Revenue</t>
        </is>
      </c>
      <c r="B26" s="238" t="inlineStr">
        <is>
          <t>Revenue</t>
        </is>
      </c>
      <c r="C26" s="238" t="inlineStr">
        <is>
          <t>IS</t>
        </is>
      </c>
      <c r="D26" s="238" t="inlineStr">
        <is>
          <t>Credit</t>
        </is>
      </c>
    </row>
    <row r="27" ht="15" customHeight="1" s="231">
      <c r="A27" s="246" t="inlineStr">
        <is>
          <t>Other Income</t>
        </is>
      </c>
      <c r="B27" s="246" t="inlineStr">
        <is>
          <t>Revenue</t>
        </is>
      </c>
      <c r="C27" s="246" t="inlineStr">
        <is>
          <t>IS</t>
        </is>
      </c>
      <c r="D27" s="246" t="inlineStr">
        <is>
          <t>Credit</t>
        </is>
      </c>
    </row>
    <row r="28" ht="15" customHeight="1" s="231">
      <c r="A28" s="238" t="inlineStr">
        <is>
          <t>Cost of Goods Sold</t>
        </is>
      </c>
      <c r="B28" s="238" t="inlineStr">
        <is>
          <t>Expense</t>
        </is>
      </c>
      <c r="C28" s="238" t="inlineStr">
        <is>
          <t>IS</t>
        </is>
      </c>
      <c r="D28" s="238" t="inlineStr">
        <is>
          <t>Debit</t>
        </is>
      </c>
    </row>
    <row r="29" ht="15" customHeight="1" s="231">
      <c r="A29" s="246" t="inlineStr">
        <is>
          <t>Direct Labour</t>
        </is>
      </c>
      <c r="B29" s="246" t="inlineStr">
        <is>
          <t>Expense</t>
        </is>
      </c>
      <c r="C29" s="246" t="inlineStr">
        <is>
          <t>IS</t>
        </is>
      </c>
      <c r="D29" s="246" t="inlineStr">
        <is>
          <t>Debit</t>
        </is>
      </c>
    </row>
    <row r="30" ht="15" customHeight="1" s="231">
      <c r="A30" s="238" t="inlineStr">
        <is>
          <t>Salaries &amp; Wages</t>
        </is>
      </c>
      <c r="B30" s="238" t="inlineStr">
        <is>
          <t>Expense</t>
        </is>
      </c>
      <c r="C30" s="238" t="inlineStr">
        <is>
          <t>IS</t>
        </is>
      </c>
      <c r="D30" s="238" t="inlineStr">
        <is>
          <t>Debit</t>
        </is>
      </c>
    </row>
    <row r="31" ht="15" customHeight="1" s="231">
      <c r="A31" s="246" t="inlineStr">
        <is>
          <t>Rent Expense</t>
        </is>
      </c>
      <c r="B31" s="246" t="inlineStr">
        <is>
          <t>Expense</t>
        </is>
      </c>
      <c r="C31" s="246" t="inlineStr">
        <is>
          <t>IS</t>
        </is>
      </c>
      <c r="D31" s="246" t="inlineStr">
        <is>
          <t>Debit</t>
        </is>
      </c>
    </row>
    <row r="32" ht="15" customHeight="1" s="231">
      <c r="A32" s="238" t="inlineStr">
        <is>
          <t>Utilities Expense</t>
        </is>
      </c>
      <c r="B32" s="238" t="inlineStr">
        <is>
          <t>Expense</t>
        </is>
      </c>
      <c r="C32" s="238" t="inlineStr">
        <is>
          <t>IS</t>
        </is>
      </c>
      <c r="D32" s="238" t="inlineStr">
        <is>
          <t>Debit</t>
        </is>
      </c>
    </row>
    <row r="33" ht="15" customHeight="1" s="231">
      <c r="A33" s="246" t="inlineStr">
        <is>
          <t>Marketing &amp; Advertising</t>
        </is>
      </c>
      <c r="B33" s="246" t="inlineStr">
        <is>
          <t>Expense</t>
        </is>
      </c>
      <c r="C33" s="246" t="inlineStr">
        <is>
          <t>IS</t>
        </is>
      </c>
      <c r="D33" s="246" t="inlineStr">
        <is>
          <t>Debit</t>
        </is>
      </c>
    </row>
    <row r="34" ht="15" customHeight="1" s="231">
      <c r="A34" s="238" t="inlineStr">
        <is>
          <t>Depreciation Expense</t>
        </is>
      </c>
      <c r="B34" s="238" t="inlineStr">
        <is>
          <t>Expense</t>
        </is>
      </c>
      <c r="C34" s="238" t="inlineStr">
        <is>
          <t>IS</t>
        </is>
      </c>
      <c r="D34" s="238" t="inlineStr">
        <is>
          <t>Debit</t>
        </is>
      </c>
    </row>
    <row r="35" ht="15" customHeight="1" s="231">
      <c r="A35" s="246" t="inlineStr">
        <is>
          <t>Travel &amp; Entertainment</t>
        </is>
      </c>
      <c r="B35" s="246" t="inlineStr">
        <is>
          <t>Expense</t>
        </is>
      </c>
      <c r="C35" s="246" t="inlineStr">
        <is>
          <t>IS</t>
        </is>
      </c>
      <c r="D35" s="246" t="inlineStr">
        <is>
          <t>Debit</t>
        </is>
      </c>
    </row>
    <row r="36" ht="15" customHeight="1" s="231">
      <c r="A36" s="238" t="inlineStr">
        <is>
          <t>Professional Fees</t>
        </is>
      </c>
      <c r="B36" s="238" t="inlineStr">
        <is>
          <t>Expense</t>
        </is>
      </c>
      <c r="C36" s="238" t="inlineStr">
        <is>
          <t>IS</t>
        </is>
      </c>
      <c r="D36" s="238" t="inlineStr">
        <is>
          <t>Debit</t>
        </is>
      </c>
    </row>
    <row r="37" ht="15" customHeight="1" s="231">
      <c r="A37" s="246" t="inlineStr">
        <is>
          <t>Bank Charges</t>
        </is>
      </c>
      <c r="B37" s="246" t="inlineStr">
        <is>
          <t>Expense</t>
        </is>
      </c>
      <c r="C37" s="246" t="inlineStr">
        <is>
          <t>IS</t>
        </is>
      </c>
      <c r="D37" s="246" t="inlineStr">
        <is>
          <t>Debit</t>
        </is>
      </c>
    </row>
    <row r="38" ht="15" customHeight="1" s="231">
      <c r="A38" s="238" t="inlineStr">
        <is>
          <t>Fines &amp; Penalties (Non-Deductible)</t>
        </is>
      </c>
      <c r="B38" s="238" t="inlineStr">
        <is>
          <t>Expense</t>
        </is>
      </c>
      <c r="C38" s="238" t="inlineStr">
        <is>
          <t>IS</t>
        </is>
      </c>
      <c r="D38" s="238" t="inlineStr">
        <is>
          <t>Debit</t>
        </is>
      </c>
    </row>
    <row r="39" ht="15" customHeight="1" s="231">
      <c r="A39" s="246" t="inlineStr">
        <is>
          <t>Entertainment (50% Non-Deductible)</t>
        </is>
      </c>
      <c r="B39" s="246" t="inlineStr">
        <is>
          <t>Expense</t>
        </is>
      </c>
      <c r="C39" s="246" t="inlineStr">
        <is>
          <t>IS</t>
        </is>
      </c>
      <c r="D39" s="246" t="inlineStr">
        <is>
          <t>Debit</t>
        </is>
      </c>
    </row>
  </sheetData>
  <mergeCells count="2">
    <mergeCell ref="A2:E2"/>
    <mergeCell ref="A1:E1"/>
  </mergeCells>
  <dataValidations count="1">
    <dataValidation sqref="B4:B6" showDropDown="0" showInputMessage="0" showErrorMessage="1" allowBlank="0" errorTitle="Invalid Rate" error="Please enter a value between 0 and 1 (e.g. 0.30 for 30%)" type="decimal"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230" min="1" max="1"/>
    <col width="22" customWidth="1" style="230" min="2" max="5"/>
  </cols>
  <sheetData>
    <row r="1" ht="39.75" customHeight="1" s="231">
      <c r="A1" s="247">
        <f>Settings!B8&amp;" | EXECUTIVE KPI DASHBOARD"</f>
        <v/>
      </c>
    </row>
    <row r="2" ht="15" customHeight="1" s="231">
      <c r="A2" s="248">
        <f>Settings!B7</f>
        <v/>
      </c>
    </row>
    <row r="4" ht="15" customHeight="1" s="231">
      <c r="A4" s="249" t="inlineStr">
        <is>
          <t>PROFITABILITY MARGINS</t>
        </is>
      </c>
    </row>
    <row r="5" ht="15" customHeight="1" s="231">
      <c r="A5" s="250" t="inlineStr">
        <is>
          <t>KPI</t>
        </is>
      </c>
      <c r="B5" s="250" t="inlineStr">
        <is>
          <t>Formula</t>
        </is>
      </c>
      <c r="C5" s="250" t="inlineStr">
        <is>
          <t>Current Period</t>
        </is>
      </c>
      <c r="D5" s="250" t="inlineStr">
        <is>
          <t>Prior Period</t>
        </is>
      </c>
      <c r="E5" s="250" t="inlineStr">
        <is>
          <t>Trend</t>
        </is>
      </c>
    </row>
    <row r="6" ht="15" customHeight="1" s="231">
      <c r="A6" s="251" t="inlineStr">
        <is>
          <t>Gross Margin</t>
        </is>
      </c>
      <c r="B6" s="252" t="inlineStr">
        <is>
          <t>Gross Profit / Revenue</t>
        </is>
      </c>
      <c r="C6" s="253">
        <f>IFERROR('Income Statement'!C12/'Income Statement'!C7,0)</f>
        <v/>
      </c>
      <c r="D6" s="254">
        <f>IFERROR('Income Statement'!E12/'Income Statement'!E7,0)</f>
        <v/>
      </c>
      <c r="E6" s="255">
        <f>IF(C6&lt;&gt;0,IF(C6&gt;D6,"▲ Improved","▼ Declined"),"-")</f>
        <v/>
      </c>
    </row>
    <row r="7" ht="15" customHeight="1" s="231">
      <c r="A7" s="256" t="inlineStr">
        <is>
          <t>EBIT Margin</t>
        </is>
      </c>
      <c r="B7" s="257" t="inlineStr">
        <is>
          <t>EBIT / Revenue</t>
        </is>
      </c>
      <c r="C7" s="258">
        <f>IFERROR('Income Statement'!C25/'Income Statement'!C7,0)</f>
        <v/>
      </c>
      <c r="D7" s="259">
        <f>IFERROR('Income Statement'!E25/'Income Statement'!E7,0)</f>
        <v/>
      </c>
      <c r="E7" s="260">
        <f>IF(C7&lt;&gt;0,IF(C7&gt;D7,"▲ Improved","▼ Declined"),"-")</f>
        <v/>
      </c>
    </row>
    <row r="8" ht="15" customHeight="1" s="231">
      <c r="A8" s="251" t="inlineStr">
        <is>
          <t>Net Profit Margin</t>
        </is>
      </c>
      <c r="B8" s="252" t="inlineStr">
        <is>
          <t>NPAT / Revenue</t>
        </is>
      </c>
      <c r="C8" s="253">
        <f>IFERROR('Income Statement'!C31/'Income Statement'!C7,0)</f>
        <v/>
      </c>
      <c r="D8" s="254">
        <f>IFERROR('Income Statement'!E31/'Income Statement'!E7,0)</f>
        <v/>
      </c>
      <c r="E8" s="255">
        <f>IF(C8&lt;&gt;0,IF(C8&gt;D8,"▲ Improved","▼ Declined"),"-")</f>
        <v/>
      </c>
    </row>
    <row r="10" ht="15" customHeight="1" s="231">
      <c r="A10" s="249" t="inlineStr">
        <is>
          <t>LIQUIDITY &amp; SOLVENCY</t>
        </is>
      </c>
    </row>
    <row r="11" ht="15" customHeight="1" s="231">
      <c r="A11" s="250" t="inlineStr">
        <is>
          <t>KPI</t>
        </is>
      </c>
      <c r="B11" s="250" t="inlineStr">
        <is>
          <t>Formula</t>
        </is>
      </c>
      <c r="C11" s="250" t="inlineStr">
        <is>
          <t>Current Period</t>
        </is>
      </c>
      <c r="D11" s="250" t="inlineStr">
        <is>
          <t>Benchmark</t>
        </is>
      </c>
      <c r="E11" s="250" t="inlineStr">
        <is>
          <t>Status</t>
        </is>
      </c>
    </row>
    <row r="12" ht="15" customHeight="1" s="231">
      <c r="A12" s="251" t="inlineStr">
        <is>
          <t>Current Ratio</t>
        </is>
      </c>
      <c r="B12" s="252" t="inlineStr">
        <is>
          <t>Current Assets / Current Liabilities</t>
        </is>
      </c>
      <c r="C12" s="261">
        <f>IFERROR('Balance Sheet'!C10/'Balance Sheet'!C23,0)</f>
        <v/>
      </c>
      <c r="D12" s="262" t="inlineStr">
        <is>
          <t>&gt;2.0</t>
        </is>
      </c>
      <c r="E12" s="255">
        <f>IF(C12&lt;&gt;0,"↗ See details","-")</f>
        <v/>
      </c>
    </row>
    <row r="13" ht="15" customHeight="1" s="231">
      <c r="A13" s="256" t="inlineStr">
        <is>
          <t>Debt-to-Equity</t>
        </is>
      </c>
      <c r="B13" s="257" t="inlineStr">
        <is>
          <t>Total Liabilities / Total Equity</t>
        </is>
      </c>
      <c r="C13" s="263">
        <f>IFERROR('Balance Sheet'!C27/'Balance Sheet'!C34,0)</f>
        <v/>
      </c>
      <c r="D13" s="264" t="inlineStr">
        <is>
          <t>&lt;1.0</t>
        </is>
      </c>
      <c r="E13" s="260">
        <f>IF(C13&lt;&gt;0,"↗ See details","-")</f>
        <v/>
      </c>
    </row>
    <row r="14" ht="15" customHeight="1" s="231">
      <c r="A14" s="251" t="inlineStr">
        <is>
          <t>Interest Coverage</t>
        </is>
      </c>
      <c r="B14" s="252" t="inlineStr">
        <is>
          <t>EBIT / Interest Expense</t>
        </is>
      </c>
      <c r="C14" s="261">
        <f>IFERROR('Income Statement'!C25/'Income Statement'!C27,0)</f>
        <v/>
      </c>
      <c r="D14" s="262" t="inlineStr">
        <is>
          <t>&gt;3.0</t>
        </is>
      </c>
      <c r="E14" s="255">
        <f>IF(C14&lt;&gt;0,"↗ See details","-")</f>
        <v/>
      </c>
    </row>
    <row r="15" ht="15" customHeight="1" s="231">
      <c r="A15" s="256" t="inlineStr">
        <is>
          <t>Return on Equity</t>
        </is>
      </c>
      <c r="B15" s="257" t="inlineStr">
        <is>
          <t>NPAT / Total Equity</t>
        </is>
      </c>
      <c r="C15" s="258">
        <f>IFERROR('Income Statement'!C31/'Balance Sheet'!C34,0)</f>
        <v/>
      </c>
      <c r="D15" s="264" t="inlineStr">
        <is>
          <t>&gt;15%</t>
        </is>
      </c>
      <c r="E15" s="260">
        <f>IF(C15&lt;&gt;0,"↗ See details","-")</f>
        <v/>
      </c>
    </row>
    <row r="17" ht="15" customHeight="1" s="231">
      <c r="A17" s="249" t="inlineStr">
        <is>
          <t>KEY FINANCIAL FIGURES (NAD)</t>
        </is>
      </c>
    </row>
    <row r="18" ht="15" customHeight="1" s="231">
      <c r="A18" s="250" t="inlineStr">
        <is>
          <t>Metric</t>
        </is>
      </c>
      <c r="B18" s="250" t="n"/>
      <c r="C18" s="250" t="inlineStr">
        <is>
          <t>Current Period</t>
        </is>
      </c>
      <c r="D18" s="250" t="inlineStr">
        <is>
          <t>Prior Period</t>
        </is>
      </c>
      <c r="E18" s="250" t="inlineStr">
        <is>
          <t>Change %</t>
        </is>
      </c>
    </row>
    <row r="19" ht="15" customHeight="1" s="231">
      <c r="A19" s="256" t="inlineStr">
        <is>
          <t>Total Revenue</t>
        </is>
      </c>
      <c r="B19" s="265" t="n"/>
      <c r="C19" s="266">
        <f>'Income Statement'!C7</f>
        <v/>
      </c>
      <c r="D19" s="267">
        <f>'Income Statement'!E7</f>
        <v/>
      </c>
      <c r="E19" s="259">
        <f>IFERROR((C19-D19)/ABS(D19),0)</f>
        <v/>
      </c>
    </row>
    <row r="20" ht="15" customHeight="1" s="231">
      <c r="A20" s="251" t="inlineStr">
        <is>
          <t>Gross Profit</t>
        </is>
      </c>
      <c r="B20" s="268" t="n"/>
      <c r="C20" s="269">
        <f>'Income Statement'!C12</f>
        <v/>
      </c>
      <c r="D20" s="270">
        <f>'Income Statement'!E12</f>
        <v/>
      </c>
      <c r="E20" s="254">
        <f>IFERROR((C20-D20)/ABS(D20),0)</f>
        <v/>
      </c>
    </row>
    <row r="21" ht="15" customHeight="1" s="231">
      <c r="A21" s="256" t="inlineStr">
        <is>
          <t>EBIT</t>
        </is>
      </c>
      <c r="B21" s="265" t="n"/>
      <c r="C21" s="266">
        <f>'Income Statement'!C25</f>
        <v/>
      </c>
      <c r="D21" s="267">
        <f>'Income Statement'!E25</f>
        <v/>
      </c>
      <c r="E21" s="259">
        <f>IFERROR((C21-D21)/ABS(D21),0)</f>
        <v/>
      </c>
    </row>
    <row r="22" ht="15" customHeight="1" s="231">
      <c r="A22" s="251" t="inlineStr">
        <is>
          <t>Net Profit After Tax</t>
        </is>
      </c>
      <c r="B22" s="268" t="n"/>
      <c r="C22" s="269">
        <f>'Income Statement'!C31</f>
        <v/>
      </c>
      <c r="D22" s="270">
        <f>'Income Statement'!E31</f>
        <v/>
      </c>
      <c r="E22" s="254">
        <f>IFERROR((C22-D22)/ABS(D22),0)</f>
        <v/>
      </c>
    </row>
    <row r="23" ht="15" customHeight="1" s="231">
      <c r="A23" s="256" t="inlineStr">
        <is>
          <t>Total Assets</t>
        </is>
      </c>
      <c r="B23" s="265" t="n"/>
      <c r="C23" s="266">
        <f>'Balance Sheet'!C15</f>
        <v/>
      </c>
      <c r="D23" s="265" t="n"/>
      <c r="E23" s="265" t="n"/>
    </row>
    <row r="24" ht="15" customHeight="1" s="231">
      <c r="A24" s="251" t="inlineStr">
        <is>
          <t>Total Equity</t>
        </is>
      </c>
      <c r="B24" s="268" t="n"/>
      <c r="C24" s="269">
        <f>'Balance Sheet'!C34</f>
        <v/>
      </c>
      <c r="D24" s="268" t="n"/>
      <c r="E24" s="268" t="n"/>
    </row>
    <row r="26" ht="15" customHeight="1" s="231">
      <c r="A26" s="271" t="inlineStr">
        <is>
          <t>All figures in NAD. Prior Period column populates from 'Prior Period (NAD)' column in Income Statement.</t>
        </is>
      </c>
    </row>
  </sheetData>
  <sheetProtection selectLockedCells="0" selectUnlockedCells="0" sheet="1" objects="0" insertRows="1" insertHyperlinks="1" autoFilter="1" scenarios="0" formatColumns="0" deleteColumns="1" insertColumns="1" pivotTables="1" deleteRows="1" formatCells="1" formatRows="0" sort="1"/>
  <mergeCells count="6">
    <mergeCell ref="A4:E4"/>
    <mergeCell ref="A26:E26"/>
    <mergeCell ref="A2:E2"/>
    <mergeCell ref="A10:E10"/>
    <mergeCell ref="A1:E1"/>
    <mergeCell ref="A17:E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230" min="1" max="1"/>
    <col width="20" customWidth="1" style="230" min="2" max="2"/>
    <col width="44" customWidth="1" style="230" min="3" max="3"/>
  </cols>
  <sheetData>
    <row r="1" ht="15" customHeight="1" s="231">
      <c r="A1" s="272" t="inlineStr">
        <is>
          <t>PRIOR YEAR CLOSING BALANCES  |  feeds comparatives &amp; opening balances</t>
        </is>
      </c>
    </row>
    <row r="2" ht="15" customHeight="1" s="231">
      <c r="A2" s="273" t="inlineStr">
        <is>
          <t>Enter the audited closing balances of the previous financial year ONCE. Everything else flows automatically.</t>
        </is>
      </c>
    </row>
    <row r="3" ht="15" customHeight="1" s="231">
      <c r="A3" s="274" t="inlineStr">
        <is>
          <t>Item</t>
        </is>
      </c>
      <c r="B3" s="275" t="inlineStr">
        <is>
          <t>Closing balance (N$)</t>
        </is>
      </c>
      <c r="C3" s="275" t="inlineStr">
        <is>
          <t>Feeds into</t>
        </is>
      </c>
    </row>
    <row r="4" ht="15" customHeight="1" s="231">
      <c r="A4" s="239" t="inlineStr">
        <is>
          <t>Cash &amp; cash equivalents</t>
        </is>
      </c>
      <c r="B4" s="276" t="n">
        <v>0</v>
      </c>
      <c r="C4" s="244" t="inlineStr">
        <is>
          <t>Cash Flow opening cash; AFS Position comparative</t>
        </is>
      </c>
    </row>
    <row r="5" ht="15" customHeight="1" s="231">
      <c r="A5" s="239" t="inlineStr">
        <is>
          <t>Accounts receivable</t>
        </is>
      </c>
      <c r="B5" s="276" t="n">
        <v>0</v>
      </c>
      <c r="C5" s="244" t="inlineStr">
        <is>
          <t>Cash Flow working capital; AFS Position comparative</t>
        </is>
      </c>
    </row>
    <row r="6" ht="15" customHeight="1" s="231">
      <c r="A6" s="239" t="inlineStr">
        <is>
          <t>Inventory</t>
        </is>
      </c>
      <c r="B6" s="276" t="n">
        <v>0</v>
      </c>
      <c r="C6" s="244" t="inlineStr">
        <is>
          <t>Cash Flow working capital; AFS Position comparative</t>
        </is>
      </c>
    </row>
    <row r="7" ht="15" customHeight="1" s="231">
      <c r="A7" s="239" t="inlineStr">
        <is>
          <t>Prepaid expenses</t>
        </is>
      </c>
      <c r="B7" s="276" t="n">
        <v>0</v>
      </c>
      <c r="C7" s="244" t="inlineStr">
        <is>
          <t>Cash Flow working capital; AFS Position comparative</t>
        </is>
      </c>
    </row>
    <row r="8" ht="15" customHeight="1" s="231">
      <c r="A8" s="239" t="inlineStr">
        <is>
          <t>Property, plant &amp; equipment (cost)</t>
        </is>
      </c>
      <c r="B8" s="276" t="n">
        <v>0</v>
      </c>
      <c r="C8" s="244" t="inlineStr">
        <is>
          <t>AFS Position comparative</t>
        </is>
      </c>
    </row>
    <row r="9" ht="15" customHeight="1" s="231">
      <c r="A9" s="239" t="inlineStr">
        <is>
          <t>Accumulated depreciation (enter as negative)</t>
        </is>
      </c>
      <c r="B9" s="276" t="n">
        <v>0</v>
      </c>
      <c r="C9" s="244" t="inlineStr">
        <is>
          <t>AFS Position comparative</t>
        </is>
      </c>
    </row>
    <row r="10" ht="15" customHeight="1" s="231">
      <c r="A10" s="239" t="inlineStr">
        <is>
          <t>Accounts payable</t>
        </is>
      </c>
      <c r="B10" s="276" t="n">
        <v>0</v>
      </c>
      <c r="C10" s="244" t="inlineStr">
        <is>
          <t>Cash Flow working capital; AFS Position comparative</t>
        </is>
      </c>
    </row>
    <row r="11" ht="15" customHeight="1" s="231">
      <c r="A11" s="239" t="inlineStr">
        <is>
          <t>VAT payable</t>
        </is>
      </c>
      <c r="B11" s="276" t="n">
        <v>0</v>
      </c>
      <c r="C11" s="244" t="inlineStr">
        <is>
          <t>Cash Flow working capital; AFS Position comparative</t>
        </is>
      </c>
    </row>
    <row r="12" ht="15" customHeight="1" s="231">
      <c r="A12" s="239" t="inlineStr">
        <is>
          <t>Income tax payable</t>
        </is>
      </c>
      <c r="B12" s="276" t="n">
        <v>0</v>
      </c>
      <c r="C12" s="244" t="inlineStr">
        <is>
          <t>AFS Position comparative</t>
        </is>
      </c>
    </row>
    <row r="13" ht="15" customHeight="1" s="231">
      <c r="A13" s="239" t="inlineStr">
        <is>
          <t>Accrued liabilities</t>
        </is>
      </c>
      <c r="B13" s="276" t="n">
        <v>0</v>
      </c>
      <c r="C13" s="244" t="inlineStr">
        <is>
          <t>Cash Flow working capital; AFS Position comparative</t>
        </is>
      </c>
    </row>
    <row r="14" ht="15" customHeight="1" s="231">
      <c r="A14" s="239" t="inlineStr">
        <is>
          <t>Loans payable (long-term)</t>
        </is>
      </c>
      <c r="B14" s="276" t="n">
        <v>0</v>
      </c>
      <c r="C14" s="244" t="inlineStr">
        <is>
          <t>AFS Position comparative</t>
        </is>
      </c>
    </row>
    <row r="15" ht="15" customHeight="1" s="231">
      <c r="A15" s="239" t="inlineStr">
        <is>
          <t>Share capital</t>
        </is>
      </c>
      <c r="B15" s="276" t="n">
        <v>0</v>
      </c>
      <c r="C15" s="244" t="inlineStr">
        <is>
          <t>Statement of Changes in Equity (opening)</t>
        </is>
      </c>
    </row>
    <row r="16" ht="15" customHeight="1" s="231">
      <c r="A16" s="239" t="inlineStr">
        <is>
          <t>Retained earnings (closing prior year)</t>
        </is>
      </c>
      <c r="B16" s="276" t="n">
        <v>0</v>
      </c>
      <c r="C16" s="244" t="inlineStr">
        <is>
          <t>Balance Sheet &amp; Equity statement (opening)</t>
        </is>
      </c>
    </row>
    <row r="17" ht="15" customHeight="1" s="231">
      <c r="A17" s="277" t="inlineStr">
        <is>
          <t>Total assets</t>
        </is>
      </c>
      <c r="B17" s="278">
        <f>SUM(B4:B9)</f>
        <v/>
      </c>
      <c r="C17" s="279" t="n"/>
    </row>
    <row r="18" ht="15" customHeight="1" s="231">
      <c r="A18" s="277" t="inlineStr">
        <is>
          <t>Total liabilities</t>
        </is>
      </c>
      <c r="B18" s="278">
        <f>SUM(B10:B14)</f>
        <v/>
      </c>
      <c r="C18" s="279" t="n"/>
    </row>
    <row r="19" ht="15" customHeight="1" s="231">
      <c r="A19" s="277" t="inlineStr">
        <is>
          <t>Total equity</t>
        </is>
      </c>
      <c r="B19" s="278">
        <f>B15+B16</f>
        <v/>
      </c>
      <c r="C19" s="279" t="n"/>
    </row>
    <row r="20" ht="15" customHeight="1" s="231">
      <c r="A20" s="280" t="inlineStr">
        <is>
          <t>PRIOR YEAR BALANCE CHECK (must be 0)</t>
        </is>
      </c>
      <c r="B20" s="281">
        <f>B17-B18-B19</f>
        <v/>
      </c>
      <c r="C20" s="282" t="n"/>
    </row>
  </sheetData>
  <sheetProtection selectLockedCells="0" selectUnlockedCells="0" sheet="1" objects="0" insertRows="1" insertHyperlinks="1" autoFilter="1" scenarios="0" formatColumns="0" deleteColumns="1" insertColumns="1" pivotTables="1" deleteRows="1" formatCells="1" formatRows="0" sort="1"/>
  <mergeCells count="2">
    <mergeCell ref="A1:C1"/>
    <mergeCell ref="A2:C2"/>
  </mergeCells>
  <conditionalFormatting sqref="B20">
    <cfRule type="cellIs" rank="0" priority="2" equalAverage="0" operator="equal" aboveAverage="0" dxfId="0" text="" percent="0" bottom="0">
      <formula>0</formula>
    </cfRule>
    <cfRule type="cellIs" rank="0" priority="3" equalAverage="0" operator="notEqual" aboveAverage="0" dxfId="1"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10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230" min="1" max="1"/>
    <col width="32" customWidth="1" style="230" min="2" max="2"/>
    <col width="30" customWidth="1" style="230" min="3" max="3"/>
    <col width="16" customWidth="1" style="230" min="4" max="5"/>
    <col width="10" customWidth="1" style="230" min="6" max="6"/>
    <col width="14" customWidth="1" style="230" min="7" max="7"/>
    <col width="16" customWidth="1" style="230" min="8" max="8"/>
  </cols>
  <sheetData>
    <row r="1" ht="15" customHeight="1" s="231">
      <c r="A1" s="272" t="inlineStr">
        <is>
          <t>GENERAL JOURNAL  |  Double-Entry Transaction Register</t>
        </is>
      </c>
    </row>
    <row r="2" ht="15" customHeight="1" s="231">
      <c r="A2" s="283" t="inlineStr">
        <is>
          <t>DOUBLE-ENTRY CHECK (Total Debits − Total Credits, must be 0):</t>
        </is>
      </c>
      <c r="D2" s="284">
        <f>SUM(D4:D103)-SUM(E4:E103)</f>
        <v/>
      </c>
      <c r="E2" s="273" t="inlineStr">
        <is>
          <t>Every transaction needs a debit line and a credit line of equal amounts.</t>
        </is>
      </c>
    </row>
    <row r="3" ht="15" customHeight="1" s="231">
      <c r="A3" s="275" t="inlineStr">
        <is>
          <t>Date</t>
        </is>
      </c>
      <c r="B3" s="275" t="inlineStr">
        <is>
          <t>Description</t>
        </is>
      </c>
      <c r="C3" s="275" t="inlineStr">
        <is>
          <t>Account (dropdown)</t>
        </is>
      </c>
      <c r="D3" s="275" t="inlineStr">
        <is>
          <t>Debit (NAD)</t>
        </is>
      </c>
      <c r="E3" s="275" t="inlineStr">
        <is>
          <t>Credit (NAD)</t>
        </is>
      </c>
      <c r="F3" s="275" t="inlineStr">
        <is>
          <t>VAT (Y/N)</t>
        </is>
      </c>
      <c r="G3" s="275" t="inlineStr">
        <is>
          <t>VAT Amount (NAD)</t>
        </is>
      </c>
      <c r="H3" s="275" t="inlineStr">
        <is>
          <t>Net Amount (NAD)</t>
        </is>
      </c>
    </row>
    <row r="4" ht="15" customHeight="1" s="231">
      <c r="A4" s="285" t="n"/>
      <c r="B4" s="286" t="n"/>
      <c r="C4" s="286" t="n"/>
      <c r="D4" s="287" t="n"/>
      <c r="E4" s="287" t="n"/>
      <c r="F4" s="285" t="n"/>
      <c r="G4" s="288">
        <f>IF(F4="Y",(D4+E4)*Settings!$B$5/(1+Settings!$B$5),0)</f>
        <v/>
      </c>
      <c r="H4" s="288">
        <f>(D4+E4)-G4</f>
        <v/>
      </c>
    </row>
    <row r="5" ht="15" customHeight="1" s="231">
      <c r="A5" s="285" t="n"/>
      <c r="B5" s="286" t="n"/>
      <c r="C5" s="286" t="n"/>
      <c r="D5" s="287" t="n"/>
      <c r="E5" s="287" t="n"/>
      <c r="F5" s="285" t="n"/>
      <c r="G5" s="288">
        <f>IF(F5="Y",(D5+E5)*Settings!$B$5/(1+Settings!$B$5),0)</f>
        <v/>
      </c>
      <c r="H5" s="288">
        <f>(D5+E5)-G5</f>
        <v/>
      </c>
    </row>
    <row r="6" ht="15" customHeight="1" s="231">
      <c r="A6" s="285" t="n"/>
      <c r="B6" s="286" t="n"/>
      <c r="C6" s="286" t="n"/>
      <c r="D6" s="287" t="n"/>
      <c r="E6" s="287" t="n"/>
      <c r="F6" s="285" t="n"/>
      <c r="G6" s="288">
        <f>IF(F6="Y",(D6+E6)*Settings!$B$5/(1+Settings!$B$5),0)</f>
        <v/>
      </c>
      <c r="H6" s="288">
        <f>(D6+E6)-G6</f>
        <v/>
      </c>
    </row>
    <row r="7" ht="15" customHeight="1" s="231">
      <c r="A7" s="285" t="n"/>
      <c r="B7" s="286" t="n"/>
      <c r="C7" s="286" t="n"/>
      <c r="D7" s="287" t="n"/>
      <c r="E7" s="287" t="n"/>
      <c r="F7" s="285" t="n"/>
      <c r="G7" s="288">
        <f>IF(F7="Y",(D7+E7)*Settings!$B$5/(1+Settings!$B$5),0)</f>
        <v/>
      </c>
      <c r="H7" s="288">
        <f>(D7+E7)-G7</f>
        <v/>
      </c>
    </row>
    <row r="8" ht="15" customHeight="1" s="231">
      <c r="A8" s="285" t="n"/>
      <c r="B8" s="286" t="n"/>
      <c r="C8" s="286" t="n"/>
      <c r="D8" s="287" t="n"/>
      <c r="E8" s="287" t="n"/>
      <c r="F8" s="285" t="n"/>
      <c r="G8" s="288">
        <f>IF(F8="Y",(D8+E8)*Settings!$B$5/(1+Settings!$B$5),0)</f>
        <v/>
      </c>
      <c r="H8" s="288">
        <f>(D8+E8)-G8</f>
        <v/>
      </c>
    </row>
    <row r="9" ht="15" customHeight="1" s="231">
      <c r="A9" s="285" t="n"/>
      <c r="B9" s="286" t="n"/>
      <c r="C9" s="286" t="n"/>
      <c r="D9" s="287" t="n"/>
      <c r="E9" s="287" t="n"/>
      <c r="F9" s="285" t="n"/>
      <c r="G9" s="288">
        <f>IF(F9="Y",(D9+E9)*Settings!$B$5/(1+Settings!$B$5),0)</f>
        <v/>
      </c>
      <c r="H9" s="288">
        <f>(D9+E9)-G9</f>
        <v/>
      </c>
    </row>
    <row r="10" ht="15" customHeight="1" s="231">
      <c r="A10" s="285" t="n"/>
      <c r="B10" s="286" t="n"/>
      <c r="C10" s="286" t="n"/>
      <c r="D10" s="287" t="n"/>
      <c r="E10" s="287" t="n"/>
      <c r="F10" s="285" t="n"/>
      <c r="G10" s="288">
        <f>IF(F10="Y",(D10+E10)*Settings!$B$5/(1+Settings!$B$5),0)</f>
        <v/>
      </c>
      <c r="H10" s="288">
        <f>(D10+E10)-G10</f>
        <v/>
      </c>
    </row>
    <row r="11" ht="15" customHeight="1" s="231">
      <c r="A11" s="285" t="n"/>
      <c r="B11" s="286" t="n"/>
      <c r="C11" s="286" t="n"/>
      <c r="D11" s="287" t="n"/>
      <c r="E11" s="287" t="n"/>
      <c r="F11" s="285" t="n"/>
      <c r="G11" s="288">
        <f>IF(F11="Y",(D11+E11)*Settings!$B$5/(1+Settings!$B$5),0)</f>
        <v/>
      </c>
      <c r="H11" s="288">
        <f>(D11+E11)-G11</f>
        <v/>
      </c>
    </row>
    <row r="12" ht="15" customHeight="1" s="231">
      <c r="A12" s="285" t="n"/>
      <c r="B12" s="286" t="n"/>
      <c r="C12" s="286" t="n"/>
      <c r="D12" s="287" t="n"/>
      <c r="E12" s="287" t="n"/>
      <c r="F12" s="285" t="n"/>
      <c r="G12" s="288">
        <f>IF(F12="Y",(D12+E12)*Settings!$B$5/(1+Settings!$B$5),0)</f>
        <v/>
      </c>
      <c r="H12" s="288">
        <f>(D12+E12)-G12</f>
        <v/>
      </c>
    </row>
    <row r="13" ht="15" customHeight="1" s="231">
      <c r="A13" s="285" t="n"/>
      <c r="B13" s="286" t="n"/>
      <c r="C13" s="286" t="n"/>
      <c r="D13" s="287" t="n"/>
      <c r="E13" s="287" t="n"/>
      <c r="F13" s="285" t="n"/>
      <c r="G13" s="288">
        <f>IF(F13="Y",(D13+E13)*Settings!$B$5/(1+Settings!$B$5),0)</f>
        <v/>
      </c>
      <c r="H13" s="288">
        <f>(D13+E13)-G13</f>
        <v/>
      </c>
    </row>
    <row r="14" ht="15" customHeight="1" s="231">
      <c r="A14" s="285" t="n"/>
      <c r="B14" s="286" t="n"/>
      <c r="C14" s="286" t="n"/>
      <c r="D14" s="287" t="n"/>
      <c r="E14" s="287" t="n"/>
      <c r="F14" s="285" t="n"/>
      <c r="G14" s="288">
        <f>IF(F14="Y",(D14+E14)*Settings!$B$5/(1+Settings!$B$5),0)</f>
        <v/>
      </c>
      <c r="H14" s="288">
        <f>(D14+E14)-G14</f>
        <v/>
      </c>
    </row>
    <row r="15" ht="15" customHeight="1" s="231">
      <c r="A15" s="285" t="n"/>
      <c r="B15" s="286" t="n"/>
      <c r="C15" s="286" t="n"/>
      <c r="D15" s="287" t="n"/>
      <c r="E15" s="287" t="n"/>
      <c r="F15" s="285" t="n"/>
      <c r="G15" s="288">
        <f>IF(F15="Y",(D15+E15)*Settings!$B$5/(1+Settings!$B$5),0)</f>
        <v/>
      </c>
      <c r="H15" s="288">
        <f>(D15+E15)-G15</f>
        <v/>
      </c>
    </row>
    <row r="16" ht="15" customHeight="1" s="231">
      <c r="A16" s="285" t="n"/>
      <c r="B16" s="286" t="n"/>
      <c r="C16" s="286" t="n"/>
      <c r="D16" s="287" t="n"/>
      <c r="E16" s="287" t="n"/>
      <c r="F16" s="285" t="n"/>
      <c r="G16" s="288">
        <f>IF(F16="Y",(D16+E16)*Settings!$B$5/(1+Settings!$B$5),0)</f>
        <v/>
      </c>
      <c r="H16" s="288">
        <f>(D16+E16)-G16</f>
        <v/>
      </c>
    </row>
    <row r="17" ht="15" customHeight="1" s="231">
      <c r="A17" s="285" t="n"/>
      <c r="B17" s="286" t="n"/>
      <c r="C17" s="286" t="n"/>
      <c r="D17" s="287" t="n"/>
      <c r="E17" s="287" t="n"/>
      <c r="F17" s="285" t="n"/>
      <c r="G17" s="288">
        <f>IF(F17="Y",(D17+E17)*Settings!$B$5/(1+Settings!$B$5),0)</f>
        <v/>
      </c>
      <c r="H17" s="288">
        <f>(D17+E17)-G17</f>
        <v/>
      </c>
    </row>
    <row r="18" ht="15" customHeight="1" s="231">
      <c r="A18" s="285" t="n"/>
      <c r="B18" s="286" t="n"/>
      <c r="C18" s="286" t="n"/>
      <c r="D18" s="287" t="n"/>
      <c r="E18" s="287" t="n"/>
      <c r="F18" s="285" t="n"/>
      <c r="G18" s="288">
        <f>IF(F18="Y",(D18+E18)*Settings!$B$5/(1+Settings!$B$5),0)</f>
        <v/>
      </c>
      <c r="H18" s="288">
        <f>(D18+E18)-G18</f>
        <v/>
      </c>
    </row>
    <row r="19" ht="15" customHeight="1" s="231">
      <c r="A19" s="285" t="n"/>
      <c r="B19" s="286" t="n"/>
      <c r="C19" s="286" t="n"/>
      <c r="D19" s="287" t="n"/>
      <c r="E19" s="287" t="n"/>
      <c r="F19" s="285" t="n"/>
      <c r="G19" s="288">
        <f>IF(F19="Y",(D19+E19)*Settings!$B$5/(1+Settings!$B$5),0)</f>
        <v/>
      </c>
      <c r="H19" s="288">
        <f>(D19+E19)-G19</f>
        <v/>
      </c>
    </row>
    <row r="20" ht="15" customHeight="1" s="231">
      <c r="A20" s="285" t="n"/>
      <c r="B20" s="286" t="n"/>
      <c r="C20" s="286" t="n"/>
      <c r="D20" s="287" t="n"/>
      <c r="E20" s="287" t="n"/>
      <c r="F20" s="285" t="n"/>
      <c r="G20" s="288">
        <f>IF(F20="Y",(D20+E20)*Settings!$B$5/(1+Settings!$B$5),0)</f>
        <v/>
      </c>
      <c r="H20" s="288">
        <f>(D20+E20)-G20</f>
        <v/>
      </c>
    </row>
    <row r="21" ht="15" customHeight="1" s="231">
      <c r="A21" s="285" t="n"/>
      <c r="B21" s="286" t="n"/>
      <c r="C21" s="286" t="n"/>
      <c r="D21" s="287" t="n"/>
      <c r="E21" s="287" t="n"/>
      <c r="F21" s="285" t="n"/>
      <c r="G21" s="288">
        <f>IF(F21="Y",(D21+E21)*Settings!$B$5/(1+Settings!$B$5),0)</f>
        <v/>
      </c>
      <c r="H21" s="288">
        <f>(D21+E21)-G21</f>
        <v/>
      </c>
    </row>
    <row r="22" ht="15" customHeight="1" s="231">
      <c r="A22" s="285" t="n"/>
      <c r="B22" s="286" t="n"/>
      <c r="C22" s="286" t="n"/>
      <c r="D22" s="287" t="n"/>
      <c r="E22" s="287" t="n"/>
      <c r="F22" s="285" t="n"/>
      <c r="G22" s="288">
        <f>IF(F22="Y",(D22+E22)*Settings!$B$5/(1+Settings!$B$5),0)</f>
        <v/>
      </c>
      <c r="H22" s="288">
        <f>(D22+E22)-G22</f>
        <v/>
      </c>
    </row>
    <row r="23" ht="15" customHeight="1" s="231">
      <c r="A23" s="285" t="n"/>
      <c r="B23" s="286" t="n"/>
      <c r="C23" s="286" t="n"/>
      <c r="D23" s="287" t="n"/>
      <c r="E23" s="287" t="n"/>
      <c r="F23" s="285" t="n"/>
      <c r="G23" s="288">
        <f>IF(F23="Y",(D23+E23)*Settings!$B$5/(1+Settings!$B$5),0)</f>
        <v/>
      </c>
      <c r="H23" s="288">
        <f>(D23+E23)-G23</f>
        <v/>
      </c>
    </row>
    <row r="24" ht="15" customHeight="1" s="231">
      <c r="A24" s="285" t="n"/>
      <c r="B24" s="286" t="n"/>
      <c r="C24" s="286" t="n"/>
      <c r="D24" s="287" t="n"/>
      <c r="E24" s="287" t="n"/>
      <c r="F24" s="285" t="n"/>
      <c r="G24" s="288">
        <f>IF(F24="Y",(D24+E24)*Settings!$B$5/(1+Settings!$B$5),0)</f>
        <v/>
      </c>
      <c r="H24" s="288">
        <f>(D24+E24)-G24</f>
        <v/>
      </c>
    </row>
    <row r="25" ht="15" customHeight="1" s="231">
      <c r="A25" s="285" t="n"/>
      <c r="B25" s="286" t="n"/>
      <c r="C25" s="286" t="n"/>
      <c r="D25" s="287" t="n"/>
      <c r="E25" s="287" t="n"/>
      <c r="F25" s="285" t="n"/>
      <c r="G25" s="288">
        <f>IF(F25="Y",(D25+E25)*Settings!$B$5/(1+Settings!$B$5),0)</f>
        <v/>
      </c>
      <c r="H25" s="288">
        <f>(D25+E25)-G25</f>
        <v/>
      </c>
    </row>
    <row r="26" ht="15" customHeight="1" s="231">
      <c r="A26" s="285" t="n"/>
      <c r="B26" s="286" t="n"/>
      <c r="C26" s="286" t="n"/>
      <c r="D26" s="287" t="n"/>
      <c r="E26" s="287" t="n"/>
      <c r="F26" s="285" t="n"/>
      <c r="G26" s="288">
        <f>IF(F26="Y",(D26+E26)*Settings!$B$5/(1+Settings!$B$5),0)</f>
        <v/>
      </c>
      <c r="H26" s="288">
        <f>(D26+E26)-G26</f>
        <v/>
      </c>
    </row>
    <row r="27" ht="15" customHeight="1" s="231">
      <c r="A27" s="285" t="n"/>
      <c r="B27" s="286" t="n"/>
      <c r="C27" s="286" t="n"/>
      <c r="D27" s="287" t="n"/>
      <c r="E27" s="287" t="n"/>
      <c r="F27" s="285" t="n"/>
      <c r="G27" s="288">
        <f>IF(F27="Y",(D27+E27)*Settings!$B$5/(1+Settings!$B$5),0)</f>
        <v/>
      </c>
      <c r="H27" s="288">
        <f>(D27+E27)-G27</f>
        <v/>
      </c>
    </row>
    <row r="28" ht="15" customHeight="1" s="231">
      <c r="A28" s="285" t="n"/>
      <c r="B28" s="286" t="n"/>
      <c r="C28" s="286" t="n"/>
      <c r="D28" s="287" t="n"/>
      <c r="E28" s="287" t="n"/>
      <c r="F28" s="285" t="n"/>
      <c r="G28" s="288">
        <f>IF(F28="Y",(D28+E28)*Settings!$B$5/(1+Settings!$B$5),0)</f>
        <v/>
      </c>
      <c r="H28" s="288">
        <f>(D28+E28)-G28</f>
        <v/>
      </c>
    </row>
    <row r="29" ht="15" customHeight="1" s="231">
      <c r="A29" s="285" t="n"/>
      <c r="B29" s="286" t="n"/>
      <c r="C29" s="286" t="n"/>
      <c r="D29" s="287" t="n"/>
      <c r="E29" s="287" t="n"/>
      <c r="F29" s="285" t="n"/>
      <c r="G29" s="288">
        <f>IF(F29="Y",(D29+E29)*Settings!$B$5/(1+Settings!$B$5),0)</f>
        <v/>
      </c>
      <c r="H29" s="288">
        <f>(D29+E29)-G29</f>
        <v/>
      </c>
    </row>
    <row r="30" ht="15" customHeight="1" s="231">
      <c r="A30" s="285" t="n"/>
      <c r="B30" s="286" t="n"/>
      <c r="C30" s="286" t="n"/>
      <c r="D30" s="287" t="n"/>
      <c r="E30" s="287" t="n"/>
      <c r="F30" s="285" t="n"/>
      <c r="G30" s="288">
        <f>IF(F30="Y",(D30+E30)*Settings!$B$5/(1+Settings!$B$5),0)</f>
        <v/>
      </c>
      <c r="H30" s="288">
        <f>(D30+E30)-G30</f>
        <v/>
      </c>
    </row>
    <row r="31" ht="15" customHeight="1" s="231">
      <c r="A31" s="285" t="n"/>
      <c r="B31" s="286" t="n"/>
      <c r="C31" s="286" t="n"/>
      <c r="D31" s="287" t="n"/>
      <c r="E31" s="287" t="n"/>
      <c r="F31" s="285" t="n"/>
      <c r="G31" s="288">
        <f>IF(F31="Y",(D31+E31)*Settings!$B$5/(1+Settings!$B$5),0)</f>
        <v/>
      </c>
      <c r="H31" s="288">
        <f>(D31+E31)-G31</f>
        <v/>
      </c>
    </row>
    <row r="32" ht="15" customHeight="1" s="231">
      <c r="A32" s="285" t="n"/>
      <c r="B32" s="286" t="n"/>
      <c r="C32" s="286" t="n"/>
      <c r="D32" s="287" t="n"/>
      <c r="E32" s="287" t="n"/>
      <c r="F32" s="285" t="n"/>
      <c r="G32" s="288">
        <f>IF(F32="Y",(D32+E32)*Settings!$B$5/(1+Settings!$B$5),0)</f>
        <v/>
      </c>
      <c r="H32" s="288">
        <f>(D32+E32)-G32</f>
        <v/>
      </c>
    </row>
    <row r="33" ht="15" customHeight="1" s="231">
      <c r="A33" s="285" t="n"/>
      <c r="B33" s="286" t="n"/>
      <c r="C33" s="286" t="n"/>
      <c r="D33" s="287" t="n"/>
      <c r="E33" s="287" t="n"/>
      <c r="F33" s="285" t="n"/>
      <c r="G33" s="288">
        <f>IF(F33="Y",(D33+E33)*Settings!$B$5/(1+Settings!$B$5),0)</f>
        <v/>
      </c>
      <c r="H33" s="288">
        <f>(D33+E33)-G33</f>
        <v/>
      </c>
    </row>
    <row r="34" ht="15" customHeight="1" s="231">
      <c r="A34" s="285" t="n"/>
      <c r="B34" s="286" t="n"/>
      <c r="C34" s="286" t="n"/>
      <c r="D34" s="287" t="n"/>
      <c r="E34" s="287" t="n"/>
      <c r="F34" s="285" t="n"/>
      <c r="G34" s="288">
        <f>IF(F34="Y",(D34+E34)*Settings!$B$5/(1+Settings!$B$5),0)</f>
        <v/>
      </c>
      <c r="H34" s="288">
        <f>(D34+E34)-G34</f>
        <v/>
      </c>
    </row>
    <row r="35" ht="15" customHeight="1" s="231">
      <c r="A35" s="285" t="n"/>
      <c r="B35" s="286" t="n"/>
      <c r="C35" s="286" t="n"/>
      <c r="D35" s="287" t="n"/>
      <c r="E35" s="287" t="n"/>
      <c r="F35" s="285" t="n"/>
      <c r="G35" s="288">
        <f>IF(F35="Y",(D35+E35)*Settings!$B$5/(1+Settings!$B$5),0)</f>
        <v/>
      </c>
      <c r="H35" s="288">
        <f>(D35+E35)-G35</f>
        <v/>
      </c>
    </row>
    <row r="36" ht="15" customHeight="1" s="231">
      <c r="A36" s="285" t="n"/>
      <c r="B36" s="286" t="n"/>
      <c r="C36" s="286" t="n"/>
      <c r="D36" s="287" t="n"/>
      <c r="E36" s="287" t="n"/>
      <c r="F36" s="285" t="n"/>
      <c r="G36" s="288">
        <f>IF(F36="Y",(D36+E36)*Settings!$B$5/(1+Settings!$B$5),0)</f>
        <v/>
      </c>
      <c r="H36" s="288">
        <f>(D36+E36)-G36</f>
        <v/>
      </c>
    </row>
    <row r="37" ht="15" customHeight="1" s="231">
      <c r="A37" s="285" t="n"/>
      <c r="B37" s="286" t="n"/>
      <c r="C37" s="286" t="n"/>
      <c r="D37" s="287" t="n"/>
      <c r="E37" s="287" t="n"/>
      <c r="F37" s="285" t="n"/>
      <c r="G37" s="288">
        <f>IF(F37="Y",(D37+E37)*Settings!$B$5/(1+Settings!$B$5),0)</f>
        <v/>
      </c>
      <c r="H37" s="288">
        <f>(D37+E37)-G37</f>
        <v/>
      </c>
    </row>
    <row r="38" ht="15" customHeight="1" s="231">
      <c r="A38" s="285" t="n"/>
      <c r="B38" s="286" t="n"/>
      <c r="C38" s="286" t="n"/>
      <c r="D38" s="287" t="n"/>
      <c r="E38" s="287" t="n"/>
      <c r="F38" s="285" t="n"/>
      <c r="G38" s="288">
        <f>IF(F38="Y",(D38+E38)*Settings!$B$5/(1+Settings!$B$5),0)</f>
        <v/>
      </c>
      <c r="H38" s="288">
        <f>(D38+E38)-G38</f>
        <v/>
      </c>
    </row>
    <row r="39" ht="15" customHeight="1" s="231">
      <c r="A39" s="285" t="n"/>
      <c r="B39" s="286" t="n"/>
      <c r="C39" s="286" t="n"/>
      <c r="D39" s="287" t="n"/>
      <c r="E39" s="287" t="n"/>
      <c r="F39" s="285" t="n"/>
      <c r="G39" s="288">
        <f>IF(F39="Y",(D39+E39)*Settings!$B$5/(1+Settings!$B$5),0)</f>
        <v/>
      </c>
      <c r="H39" s="288">
        <f>(D39+E39)-G39</f>
        <v/>
      </c>
    </row>
    <row r="40" ht="15" customHeight="1" s="231">
      <c r="A40" s="285" t="n"/>
      <c r="B40" s="286" t="n"/>
      <c r="C40" s="286" t="n"/>
      <c r="D40" s="287" t="n"/>
      <c r="E40" s="287" t="n"/>
      <c r="F40" s="285" t="n"/>
      <c r="G40" s="288">
        <f>IF(F40="Y",(D40+E40)*Settings!$B$5/(1+Settings!$B$5),0)</f>
        <v/>
      </c>
      <c r="H40" s="288">
        <f>(D40+E40)-G40</f>
        <v/>
      </c>
    </row>
    <row r="41" ht="15" customHeight="1" s="231">
      <c r="A41" s="285" t="n"/>
      <c r="B41" s="286" t="n"/>
      <c r="C41" s="286" t="n"/>
      <c r="D41" s="287" t="n"/>
      <c r="E41" s="287" t="n"/>
      <c r="F41" s="285" t="n"/>
      <c r="G41" s="288">
        <f>IF(F41="Y",(D41+E41)*Settings!$B$5/(1+Settings!$B$5),0)</f>
        <v/>
      </c>
      <c r="H41" s="288">
        <f>(D41+E41)-G41</f>
        <v/>
      </c>
    </row>
    <row r="42" ht="15" customHeight="1" s="231">
      <c r="A42" s="285" t="n"/>
      <c r="B42" s="286" t="n"/>
      <c r="C42" s="286" t="n"/>
      <c r="D42" s="287" t="n"/>
      <c r="E42" s="287" t="n"/>
      <c r="F42" s="285" t="n"/>
      <c r="G42" s="288">
        <f>IF(F42="Y",(D42+E42)*Settings!$B$5/(1+Settings!$B$5),0)</f>
        <v/>
      </c>
      <c r="H42" s="288">
        <f>(D42+E42)-G42</f>
        <v/>
      </c>
    </row>
    <row r="43" ht="15" customHeight="1" s="231">
      <c r="A43" s="285" t="n"/>
      <c r="B43" s="286" t="n"/>
      <c r="C43" s="286" t="n"/>
      <c r="D43" s="287" t="n"/>
      <c r="E43" s="287" t="n"/>
      <c r="F43" s="285" t="n"/>
      <c r="G43" s="288">
        <f>IF(F43="Y",(D43+E43)*Settings!$B$5/(1+Settings!$B$5),0)</f>
        <v/>
      </c>
      <c r="H43" s="288">
        <f>(D43+E43)-G43</f>
        <v/>
      </c>
    </row>
    <row r="44" ht="15" customHeight="1" s="231">
      <c r="A44" s="285" t="n"/>
      <c r="B44" s="286" t="n"/>
      <c r="C44" s="286" t="n"/>
      <c r="D44" s="287" t="n"/>
      <c r="E44" s="287" t="n"/>
      <c r="F44" s="285" t="n"/>
      <c r="G44" s="288">
        <f>IF(F44="Y",(D44+E44)*Settings!$B$5/(1+Settings!$B$5),0)</f>
        <v/>
      </c>
      <c r="H44" s="288">
        <f>(D44+E44)-G44</f>
        <v/>
      </c>
    </row>
    <row r="45" ht="15" customHeight="1" s="231">
      <c r="A45" s="285" t="n"/>
      <c r="B45" s="286" t="n"/>
      <c r="C45" s="286" t="n"/>
      <c r="D45" s="287" t="n"/>
      <c r="E45" s="287" t="n"/>
      <c r="F45" s="285" t="n"/>
      <c r="G45" s="288">
        <f>IF(F45="Y",(D45+E45)*Settings!$B$5/(1+Settings!$B$5),0)</f>
        <v/>
      </c>
      <c r="H45" s="288">
        <f>(D45+E45)-G45</f>
        <v/>
      </c>
    </row>
    <row r="46" ht="15" customHeight="1" s="231">
      <c r="A46" s="285" t="n"/>
      <c r="B46" s="286" t="n"/>
      <c r="C46" s="286" t="n"/>
      <c r="D46" s="287" t="n"/>
      <c r="E46" s="287" t="n"/>
      <c r="F46" s="285" t="n"/>
      <c r="G46" s="288">
        <f>IF(F46="Y",(D46+E46)*Settings!$B$5/(1+Settings!$B$5),0)</f>
        <v/>
      </c>
      <c r="H46" s="288">
        <f>(D46+E46)-G46</f>
        <v/>
      </c>
    </row>
    <row r="47" ht="15" customHeight="1" s="231">
      <c r="A47" s="285" t="n"/>
      <c r="B47" s="286" t="n"/>
      <c r="C47" s="286" t="n"/>
      <c r="D47" s="287" t="n"/>
      <c r="E47" s="287" t="n"/>
      <c r="F47" s="285" t="n"/>
      <c r="G47" s="288">
        <f>IF(F47="Y",(D47+E47)*Settings!$B$5/(1+Settings!$B$5),0)</f>
        <v/>
      </c>
      <c r="H47" s="288">
        <f>(D47+E47)-G47</f>
        <v/>
      </c>
    </row>
    <row r="48" ht="15" customHeight="1" s="231">
      <c r="A48" s="285" t="n"/>
      <c r="B48" s="286" t="n"/>
      <c r="C48" s="286" t="n"/>
      <c r="D48" s="287" t="n"/>
      <c r="E48" s="287" t="n"/>
      <c r="F48" s="285" t="n"/>
      <c r="G48" s="288">
        <f>IF(F48="Y",(D48+E48)*Settings!$B$5/(1+Settings!$B$5),0)</f>
        <v/>
      </c>
      <c r="H48" s="288">
        <f>(D48+E48)-G48</f>
        <v/>
      </c>
    </row>
    <row r="49" ht="15" customHeight="1" s="231">
      <c r="A49" s="285" t="n"/>
      <c r="B49" s="286" t="n"/>
      <c r="C49" s="286" t="n"/>
      <c r="D49" s="287" t="n"/>
      <c r="E49" s="287" t="n"/>
      <c r="F49" s="285" t="n"/>
      <c r="G49" s="288">
        <f>IF(F49="Y",(D49+E49)*Settings!$B$5/(1+Settings!$B$5),0)</f>
        <v/>
      </c>
      <c r="H49" s="288">
        <f>(D49+E49)-G49</f>
        <v/>
      </c>
    </row>
    <row r="50" ht="15" customHeight="1" s="231">
      <c r="A50" s="285" t="n"/>
      <c r="B50" s="286" t="n"/>
      <c r="C50" s="286" t="n"/>
      <c r="D50" s="287" t="n"/>
      <c r="E50" s="287" t="n"/>
      <c r="F50" s="285" t="n"/>
      <c r="G50" s="288">
        <f>IF(F50="Y",(D50+E50)*Settings!$B$5/(1+Settings!$B$5),0)</f>
        <v/>
      </c>
      <c r="H50" s="288">
        <f>(D50+E50)-G50</f>
        <v/>
      </c>
    </row>
    <row r="51" ht="15" customHeight="1" s="231">
      <c r="A51" s="285" t="n"/>
      <c r="B51" s="286" t="n"/>
      <c r="C51" s="286" t="n"/>
      <c r="D51" s="287" t="n"/>
      <c r="E51" s="287" t="n"/>
      <c r="F51" s="285" t="n"/>
      <c r="G51" s="288">
        <f>IF(F51="Y",(D51+E51)*Settings!$B$5/(1+Settings!$B$5),0)</f>
        <v/>
      </c>
      <c r="H51" s="288">
        <f>(D51+E51)-G51</f>
        <v/>
      </c>
    </row>
    <row r="52" ht="15" customHeight="1" s="231">
      <c r="A52" s="285" t="n"/>
      <c r="B52" s="286" t="n"/>
      <c r="C52" s="286" t="n"/>
      <c r="D52" s="287" t="n"/>
      <c r="E52" s="287" t="n"/>
      <c r="F52" s="285" t="n"/>
      <c r="G52" s="288">
        <f>IF(F52="Y",(D52+E52)*Settings!$B$5/(1+Settings!$B$5),0)</f>
        <v/>
      </c>
      <c r="H52" s="288">
        <f>(D52+E52)-G52</f>
        <v/>
      </c>
    </row>
    <row r="53" ht="15" customHeight="1" s="231">
      <c r="A53" s="285" t="n"/>
      <c r="B53" s="286" t="n"/>
      <c r="C53" s="286" t="n"/>
      <c r="D53" s="287" t="n"/>
      <c r="E53" s="287" t="n"/>
      <c r="F53" s="285" t="n"/>
      <c r="G53" s="288">
        <f>IF(F53="Y",(D53+E53)*Settings!$B$5/(1+Settings!$B$5),0)</f>
        <v/>
      </c>
      <c r="H53" s="288">
        <f>(D53+E53)-G53</f>
        <v/>
      </c>
    </row>
    <row r="54" ht="15" customHeight="1" s="231">
      <c r="A54" s="285" t="n"/>
      <c r="B54" s="286" t="n"/>
      <c r="C54" s="286" t="n"/>
      <c r="D54" s="287" t="n"/>
      <c r="E54" s="287" t="n"/>
      <c r="F54" s="285" t="n"/>
      <c r="G54" s="288">
        <f>IF(F54="Y",(D54+E54)*Settings!$B$5/(1+Settings!$B$5),0)</f>
        <v/>
      </c>
      <c r="H54" s="288">
        <f>(D54+E54)-G54</f>
        <v/>
      </c>
    </row>
    <row r="55" ht="15" customHeight="1" s="231">
      <c r="A55" s="285" t="n"/>
      <c r="B55" s="286" t="n"/>
      <c r="C55" s="286" t="n"/>
      <c r="D55" s="287" t="n"/>
      <c r="E55" s="287" t="n"/>
      <c r="F55" s="285" t="n"/>
      <c r="G55" s="288">
        <f>IF(F55="Y",(D55+E55)*Settings!$B$5/(1+Settings!$B$5),0)</f>
        <v/>
      </c>
      <c r="H55" s="288">
        <f>(D55+E55)-G55</f>
        <v/>
      </c>
    </row>
    <row r="56" ht="15" customHeight="1" s="231">
      <c r="A56" s="285" t="n"/>
      <c r="B56" s="286" t="n"/>
      <c r="C56" s="286" t="n"/>
      <c r="D56" s="287" t="n"/>
      <c r="E56" s="287" t="n"/>
      <c r="F56" s="285" t="n"/>
      <c r="G56" s="288">
        <f>IF(F56="Y",(D56+E56)*Settings!$B$5/(1+Settings!$B$5),0)</f>
        <v/>
      </c>
      <c r="H56" s="288">
        <f>(D56+E56)-G56</f>
        <v/>
      </c>
    </row>
    <row r="57" ht="15" customHeight="1" s="231">
      <c r="A57" s="285" t="n"/>
      <c r="B57" s="286" t="n"/>
      <c r="C57" s="286" t="n"/>
      <c r="D57" s="287" t="n"/>
      <c r="E57" s="287" t="n"/>
      <c r="F57" s="285" t="n"/>
      <c r="G57" s="288">
        <f>IF(F57="Y",(D57+E57)*Settings!$B$5/(1+Settings!$B$5),0)</f>
        <v/>
      </c>
      <c r="H57" s="288">
        <f>(D57+E57)-G57</f>
        <v/>
      </c>
    </row>
    <row r="58" ht="15" customHeight="1" s="231">
      <c r="A58" s="285" t="n"/>
      <c r="B58" s="286" t="n"/>
      <c r="C58" s="286" t="n"/>
      <c r="D58" s="287" t="n"/>
      <c r="E58" s="287" t="n"/>
      <c r="F58" s="285" t="n"/>
      <c r="G58" s="288">
        <f>IF(F58="Y",(D58+E58)*Settings!$B$5/(1+Settings!$B$5),0)</f>
        <v/>
      </c>
      <c r="H58" s="288">
        <f>(D58+E58)-G58</f>
        <v/>
      </c>
    </row>
    <row r="59" ht="15" customHeight="1" s="231">
      <c r="A59" s="285" t="n"/>
      <c r="B59" s="286" t="n"/>
      <c r="C59" s="286" t="n"/>
      <c r="D59" s="287" t="n"/>
      <c r="E59" s="287" t="n"/>
      <c r="F59" s="285" t="n"/>
      <c r="G59" s="288">
        <f>IF(F59="Y",(D59+E59)*Settings!$B$5/(1+Settings!$B$5),0)</f>
        <v/>
      </c>
      <c r="H59" s="288">
        <f>(D59+E59)-G59</f>
        <v/>
      </c>
    </row>
    <row r="60" ht="15" customHeight="1" s="231">
      <c r="A60" s="285" t="n"/>
      <c r="B60" s="286" t="n"/>
      <c r="C60" s="286" t="n"/>
      <c r="D60" s="287" t="n"/>
      <c r="E60" s="287" t="n"/>
      <c r="F60" s="285" t="n"/>
      <c r="G60" s="288">
        <f>IF(F60="Y",(D60+E60)*Settings!$B$5/(1+Settings!$B$5),0)</f>
        <v/>
      </c>
      <c r="H60" s="288">
        <f>(D60+E60)-G60</f>
        <v/>
      </c>
    </row>
    <row r="61" ht="15" customHeight="1" s="231">
      <c r="A61" s="285" t="n"/>
      <c r="B61" s="286" t="n"/>
      <c r="C61" s="286" t="n"/>
      <c r="D61" s="287" t="n"/>
      <c r="E61" s="287" t="n"/>
      <c r="F61" s="285" t="n"/>
      <c r="G61" s="288">
        <f>IF(F61="Y",(D61+E61)*Settings!$B$5/(1+Settings!$B$5),0)</f>
        <v/>
      </c>
      <c r="H61" s="288">
        <f>(D61+E61)-G61</f>
        <v/>
      </c>
    </row>
    <row r="62" ht="15" customHeight="1" s="231">
      <c r="A62" s="285" t="n"/>
      <c r="B62" s="286" t="n"/>
      <c r="C62" s="286" t="n"/>
      <c r="D62" s="287" t="n"/>
      <c r="E62" s="287" t="n"/>
      <c r="F62" s="285" t="n"/>
      <c r="G62" s="288">
        <f>IF(F62="Y",(D62+E62)*Settings!$B$5/(1+Settings!$B$5),0)</f>
        <v/>
      </c>
      <c r="H62" s="288">
        <f>(D62+E62)-G62</f>
        <v/>
      </c>
    </row>
    <row r="63" ht="15" customHeight="1" s="231">
      <c r="A63" s="285" t="n"/>
      <c r="B63" s="286" t="n"/>
      <c r="C63" s="286" t="n"/>
      <c r="D63" s="287" t="n"/>
      <c r="E63" s="287" t="n"/>
      <c r="F63" s="285" t="n"/>
      <c r="G63" s="288">
        <f>IF(F63="Y",(D63+E63)*Settings!$B$5/(1+Settings!$B$5),0)</f>
        <v/>
      </c>
      <c r="H63" s="288">
        <f>(D63+E63)-G63</f>
        <v/>
      </c>
    </row>
    <row r="64" ht="15" customHeight="1" s="231">
      <c r="A64" s="285" t="n"/>
      <c r="B64" s="286" t="n"/>
      <c r="C64" s="286" t="n"/>
      <c r="D64" s="287" t="n"/>
      <c r="E64" s="287" t="n"/>
      <c r="F64" s="285" t="n"/>
      <c r="G64" s="288">
        <f>IF(F64="Y",(D64+E64)*Settings!$B$5/(1+Settings!$B$5),0)</f>
        <v/>
      </c>
      <c r="H64" s="288">
        <f>(D64+E64)-G64</f>
        <v/>
      </c>
    </row>
    <row r="65" ht="15" customHeight="1" s="231">
      <c r="A65" s="285" t="n"/>
      <c r="B65" s="286" t="n"/>
      <c r="C65" s="286" t="n"/>
      <c r="D65" s="287" t="n"/>
      <c r="E65" s="287" t="n"/>
      <c r="F65" s="285" t="n"/>
      <c r="G65" s="288">
        <f>IF(F65="Y",(D65+E65)*Settings!$B$5/(1+Settings!$B$5),0)</f>
        <v/>
      </c>
      <c r="H65" s="288">
        <f>(D65+E65)-G65</f>
        <v/>
      </c>
    </row>
    <row r="66" ht="15" customHeight="1" s="231">
      <c r="A66" s="285" t="n"/>
      <c r="B66" s="286" t="n"/>
      <c r="C66" s="286" t="n"/>
      <c r="D66" s="287" t="n"/>
      <c r="E66" s="287" t="n"/>
      <c r="F66" s="285" t="n"/>
      <c r="G66" s="288">
        <f>IF(F66="Y",(D66+E66)*Settings!$B$5/(1+Settings!$B$5),0)</f>
        <v/>
      </c>
      <c r="H66" s="288">
        <f>(D66+E66)-G66</f>
        <v/>
      </c>
    </row>
    <row r="67" ht="15" customHeight="1" s="231">
      <c r="A67" s="285" t="n"/>
      <c r="B67" s="286" t="n"/>
      <c r="C67" s="286" t="n"/>
      <c r="D67" s="287" t="n"/>
      <c r="E67" s="287" t="n"/>
      <c r="F67" s="285" t="n"/>
      <c r="G67" s="288">
        <f>IF(F67="Y",(D67+E67)*Settings!$B$5/(1+Settings!$B$5),0)</f>
        <v/>
      </c>
      <c r="H67" s="288">
        <f>(D67+E67)-G67</f>
        <v/>
      </c>
    </row>
    <row r="68" ht="15" customHeight="1" s="231">
      <c r="A68" s="285" t="n"/>
      <c r="B68" s="286" t="n"/>
      <c r="C68" s="286" t="n"/>
      <c r="D68" s="287" t="n"/>
      <c r="E68" s="287" t="n"/>
      <c r="F68" s="285" t="n"/>
      <c r="G68" s="288">
        <f>IF(F68="Y",(D68+E68)*Settings!$B$5/(1+Settings!$B$5),0)</f>
        <v/>
      </c>
      <c r="H68" s="288">
        <f>(D68+E68)-G68</f>
        <v/>
      </c>
    </row>
    <row r="69" ht="15" customHeight="1" s="231">
      <c r="A69" s="285" t="n"/>
      <c r="B69" s="286" t="n"/>
      <c r="C69" s="286" t="n"/>
      <c r="D69" s="287" t="n"/>
      <c r="E69" s="287" t="n"/>
      <c r="F69" s="285" t="n"/>
      <c r="G69" s="288">
        <f>IF(F69="Y",(D69+E69)*Settings!$B$5/(1+Settings!$B$5),0)</f>
        <v/>
      </c>
      <c r="H69" s="288">
        <f>(D69+E69)-G69</f>
        <v/>
      </c>
    </row>
    <row r="70" ht="15" customHeight="1" s="231">
      <c r="A70" s="285" t="n"/>
      <c r="B70" s="286" t="n"/>
      <c r="C70" s="286" t="n"/>
      <c r="D70" s="287" t="n"/>
      <c r="E70" s="287" t="n"/>
      <c r="F70" s="285" t="n"/>
      <c r="G70" s="288">
        <f>IF(F70="Y",(D70+E70)*Settings!$B$5/(1+Settings!$B$5),0)</f>
        <v/>
      </c>
      <c r="H70" s="288">
        <f>(D70+E70)-G70</f>
        <v/>
      </c>
    </row>
    <row r="71" ht="15" customHeight="1" s="231">
      <c r="A71" s="285" t="n"/>
      <c r="B71" s="286" t="n"/>
      <c r="C71" s="286" t="n"/>
      <c r="D71" s="287" t="n"/>
      <c r="E71" s="287" t="n"/>
      <c r="F71" s="285" t="n"/>
      <c r="G71" s="288">
        <f>IF(F71="Y",(D71+E71)*Settings!$B$5/(1+Settings!$B$5),0)</f>
        <v/>
      </c>
      <c r="H71" s="288">
        <f>(D71+E71)-G71</f>
        <v/>
      </c>
    </row>
    <row r="72" ht="15" customHeight="1" s="231">
      <c r="A72" s="285" t="n"/>
      <c r="B72" s="286" t="n"/>
      <c r="C72" s="286" t="n"/>
      <c r="D72" s="287" t="n"/>
      <c r="E72" s="287" t="n"/>
      <c r="F72" s="285" t="n"/>
      <c r="G72" s="288">
        <f>IF(F72="Y",(D72+E72)*Settings!$B$5/(1+Settings!$B$5),0)</f>
        <v/>
      </c>
      <c r="H72" s="288">
        <f>(D72+E72)-G72</f>
        <v/>
      </c>
    </row>
    <row r="73" ht="15" customHeight="1" s="231">
      <c r="A73" s="285" t="n"/>
      <c r="B73" s="286" t="n"/>
      <c r="C73" s="286" t="n"/>
      <c r="D73" s="287" t="n"/>
      <c r="E73" s="287" t="n"/>
      <c r="F73" s="285" t="n"/>
      <c r="G73" s="288">
        <f>IF(F73="Y",(D73+E73)*Settings!$B$5/(1+Settings!$B$5),0)</f>
        <v/>
      </c>
      <c r="H73" s="288">
        <f>(D73+E73)-G73</f>
        <v/>
      </c>
    </row>
    <row r="74" ht="15" customHeight="1" s="231">
      <c r="A74" s="285" t="n"/>
      <c r="B74" s="286" t="n"/>
      <c r="C74" s="286" t="n"/>
      <c r="D74" s="287" t="n"/>
      <c r="E74" s="287" t="n"/>
      <c r="F74" s="285" t="n"/>
      <c r="G74" s="288">
        <f>IF(F74="Y",(D74+E74)*Settings!$B$5/(1+Settings!$B$5),0)</f>
        <v/>
      </c>
      <c r="H74" s="288">
        <f>(D74+E74)-G74</f>
        <v/>
      </c>
    </row>
    <row r="75" ht="15" customHeight="1" s="231">
      <c r="A75" s="285" t="n"/>
      <c r="B75" s="286" t="n"/>
      <c r="C75" s="286" t="n"/>
      <c r="D75" s="287" t="n"/>
      <c r="E75" s="287" t="n"/>
      <c r="F75" s="285" t="n"/>
      <c r="G75" s="288">
        <f>IF(F75="Y",(D75+E75)*Settings!$B$5/(1+Settings!$B$5),0)</f>
        <v/>
      </c>
      <c r="H75" s="288">
        <f>(D75+E75)-G75</f>
        <v/>
      </c>
    </row>
    <row r="76" ht="15" customHeight="1" s="231">
      <c r="A76" s="285" t="n"/>
      <c r="B76" s="286" t="n"/>
      <c r="C76" s="286" t="n"/>
      <c r="D76" s="287" t="n"/>
      <c r="E76" s="287" t="n"/>
      <c r="F76" s="285" t="n"/>
      <c r="G76" s="288">
        <f>IF(F76="Y",(D76+E76)*Settings!$B$5/(1+Settings!$B$5),0)</f>
        <v/>
      </c>
      <c r="H76" s="288">
        <f>(D76+E76)-G76</f>
        <v/>
      </c>
    </row>
    <row r="77" ht="15" customHeight="1" s="231">
      <c r="A77" s="285" t="n"/>
      <c r="B77" s="286" t="n"/>
      <c r="C77" s="286" t="n"/>
      <c r="D77" s="287" t="n"/>
      <c r="E77" s="287" t="n"/>
      <c r="F77" s="285" t="n"/>
      <c r="G77" s="288">
        <f>IF(F77="Y",(D77+E77)*Settings!$B$5/(1+Settings!$B$5),0)</f>
        <v/>
      </c>
      <c r="H77" s="288">
        <f>(D77+E77)-G77</f>
        <v/>
      </c>
    </row>
    <row r="78" ht="15" customHeight="1" s="231">
      <c r="A78" s="285" t="n"/>
      <c r="B78" s="286" t="n"/>
      <c r="C78" s="286" t="n"/>
      <c r="D78" s="287" t="n"/>
      <c r="E78" s="287" t="n"/>
      <c r="F78" s="285" t="n"/>
      <c r="G78" s="288">
        <f>IF(F78="Y",(D78+E78)*Settings!$B$5/(1+Settings!$B$5),0)</f>
        <v/>
      </c>
      <c r="H78" s="288">
        <f>(D78+E78)-G78</f>
        <v/>
      </c>
    </row>
    <row r="79" ht="15" customHeight="1" s="231">
      <c r="A79" s="285" t="n"/>
      <c r="B79" s="286" t="n"/>
      <c r="C79" s="286" t="n"/>
      <c r="D79" s="287" t="n"/>
      <c r="E79" s="287" t="n"/>
      <c r="F79" s="285" t="n"/>
      <c r="G79" s="288">
        <f>IF(F79="Y",(D79+E79)*Settings!$B$5/(1+Settings!$B$5),0)</f>
        <v/>
      </c>
      <c r="H79" s="288">
        <f>(D79+E79)-G79</f>
        <v/>
      </c>
    </row>
    <row r="80" ht="15" customHeight="1" s="231">
      <c r="A80" s="285" t="n"/>
      <c r="B80" s="286" t="n"/>
      <c r="C80" s="286" t="n"/>
      <c r="D80" s="287" t="n"/>
      <c r="E80" s="287" t="n"/>
      <c r="F80" s="285" t="n"/>
      <c r="G80" s="288">
        <f>IF(F80="Y",(D80+E80)*Settings!$B$5/(1+Settings!$B$5),0)</f>
        <v/>
      </c>
      <c r="H80" s="288">
        <f>(D80+E80)-G80</f>
        <v/>
      </c>
    </row>
    <row r="81" ht="15" customHeight="1" s="231">
      <c r="A81" s="285" t="n"/>
      <c r="B81" s="286" t="n"/>
      <c r="C81" s="286" t="n"/>
      <c r="D81" s="287" t="n"/>
      <c r="E81" s="287" t="n"/>
      <c r="F81" s="285" t="n"/>
      <c r="G81" s="288">
        <f>IF(F81="Y",(D81+E81)*Settings!$B$5/(1+Settings!$B$5),0)</f>
        <v/>
      </c>
      <c r="H81" s="288">
        <f>(D81+E81)-G81</f>
        <v/>
      </c>
    </row>
    <row r="82" ht="15" customHeight="1" s="231">
      <c r="A82" s="285" t="n"/>
      <c r="B82" s="286" t="n"/>
      <c r="C82" s="286" t="n"/>
      <c r="D82" s="287" t="n"/>
      <c r="E82" s="287" t="n"/>
      <c r="F82" s="285" t="n"/>
      <c r="G82" s="288">
        <f>IF(F82="Y",(D82+E82)*Settings!$B$5/(1+Settings!$B$5),0)</f>
        <v/>
      </c>
      <c r="H82" s="288">
        <f>(D82+E82)-G82</f>
        <v/>
      </c>
    </row>
    <row r="83" ht="15" customHeight="1" s="231">
      <c r="A83" s="285" t="n"/>
      <c r="B83" s="286" t="n"/>
      <c r="C83" s="286" t="n"/>
      <c r="D83" s="287" t="n"/>
      <c r="E83" s="287" t="n"/>
      <c r="F83" s="285" t="n"/>
      <c r="G83" s="288">
        <f>IF(F83="Y",(D83+E83)*Settings!$B$5/(1+Settings!$B$5),0)</f>
        <v/>
      </c>
      <c r="H83" s="288">
        <f>(D83+E83)-G83</f>
        <v/>
      </c>
    </row>
    <row r="84" ht="15" customHeight="1" s="231">
      <c r="A84" s="285" t="n"/>
      <c r="B84" s="286" t="n"/>
      <c r="C84" s="286" t="n"/>
      <c r="D84" s="287" t="n"/>
      <c r="E84" s="287" t="n"/>
      <c r="F84" s="285" t="n"/>
      <c r="G84" s="288">
        <f>IF(F84="Y",(D84+E84)*Settings!$B$5/(1+Settings!$B$5),0)</f>
        <v/>
      </c>
      <c r="H84" s="288">
        <f>(D84+E84)-G84</f>
        <v/>
      </c>
    </row>
    <row r="85" ht="15" customHeight="1" s="231">
      <c r="A85" s="285" t="n"/>
      <c r="B85" s="286" t="n"/>
      <c r="C85" s="286" t="n"/>
      <c r="D85" s="287" t="n"/>
      <c r="E85" s="287" t="n"/>
      <c r="F85" s="285" t="n"/>
      <c r="G85" s="288">
        <f>IF(F85="Y",(D85+E85)*Settings!$B$5/(1+Settings!$B$5),0)</f>
        <v/>
      </c>
      <c r="H85" s="288">
        <f>(D85+E85)-G85</f>
        <v/>
      </c>
    </row>
    <row r="86" ht="15" customHeight="1" s="231">
      <c r="A86" s="285" t="n"/>
      <c r="B86" s="286" t="n"/>
      <c r="C86" s="286" t="n"/>
      <c r="D86" s="287" t="n"/>
      <c r="E86" s="287" t="n"/>
      <c r="F86" s="285" t="n"/>
      <c r="G86" s="288">
        <f>IF(F86="Y",(D86+E86)*Settings!$B$5/(1+Settings!$B$5),0)</f>
        <v/>
      </c>
      <c r="H86" s="288">
        <f>(D86+E86)-G86</f>
        <v/>
      </c>
    </row>
    <row r="87" ht="15" customHeight="1" s="231">
      <c r="A87" s="285" t="n"/>
      <c r="B87" s="286" t="n"/>
      <c r="C87" s="286" t="n"/>
      <c r="D87" s="287" t="n"/>
      <c r="E87" s="287" t="n"/>
      <c r="F87" s="285" t="n"/>
      <c r="G87" s="288">
        <f>IF(F87="Y",(D87+E87)*Settings!$B$5/(1+Settings!$B$5),0)</f>
        <v/>
      </c>
      <c r="H87" s="288">
        <f>(D87+E87)-G87</f>
        <v/>
      </c>
    </row>
    <row r="88" ht="15" customHeight="1" s="231">
      <c r="A88" s="285" t="n"/>
      <c r="B88" s="286" t="n"/>
      <c r="C88" s="286" t="n"/>
      <c r="D88" s="287" t="n"/>
      <c r="E88" s="287" t="n"/>
      <c r="F88" s="285" t="n"/>
      <c r="G88" s="288">
        <f>IF(F88="Y",(D88+E88)*Settings!$B$5/(1+Settings!$B$5),0)</f>
        <v/>
      </c>
      <c r="H88" s="288">
        <f>(D88+E88)-G88</f>
        <v/>
      </c>
    </row>
    <row r="89" ht="15" customHeight="1" s="231">
      <c r="A89" s="285" t="n"/>
      <c r="B89" s="286" t="n"/>
      <c r="C89" s="286" t="n"/>
      <c r="D89" s="287" t="n"/>
      <c r="E89" s="287" t="n"/>
      <c r="F89" s="285" t="n"/>
      <c r="G89" s="288">
        <f>IF(F89="Y",(D89+E89)*Settings!$B$5/(1+Settings!$B$5),0)</f>
        <v/>
      </c>
      <c r="H89" s="288">
        <f>(D89+E89)-G89</f>
        <v/>
      </c>
    </row>
    <row r="90" ht="15" customHeight="1" s="231">
      <c r="A90" s="285" t="n"/>
      <c r="B90" s="286" t="n"/>
      <c r="C90" s="286" t="n"/>
      <c r="D90" s="287" t="n"/>
      <c r="E90" s="287" t="n"/>
      <c r="F90" s="285" t="n"/>
      <c r="G90" s="288">
        <f>IF(F90="Y",(D90+E90)*Settings!$B$5/(1+Settings!$B$5),0)</f>
        <v/>
      </c>
      <c r="H90" s="288">
        <f>(D90+E90)-G90</f>
        <v/>
      </c>
    </row>
    <row r="91" ht="15" customHeight="1" s="231">
      <c r="A91" s="285" t="n"/>
      <c r="B91" s="286" t="n"/>
      <c r="C91" s="286" t="n"/>
      <c r="D91" s="287" t="n"/>
      <c r="E91" s="287" t="n"/>
      <c r="F91" s="285" t="n"/>
      <c r="G91" s="288">
        <f>IF(F91="Y",(D91+E91)*Settings!$B$5/(1+Settings!$B$5),0)</f>
        <v/>
      </c>
      <c r="H91" s="288">
        <f>(D91+E91)-G91</f>
        <v/>
      </c>
    </row>
    <row r="92" ht="15" customHeight="1" s="231">
      <c r="A92" s="285" t="n"/>
      <c r="B92" s="286" t="n"/>
      <c r="C92" s="286" t="n"/>
      <c r="D92" s="287" t="n"/>
      <c r="E92" s="287" t="n"/>
      <c r="F92" s="285" t="n"/>
      <c r="G92" s="288">
        <f>IF(F92="Y",(D92+E92)*Settings!$B$5/(1+Settings!$B$5),0)</f>
        <v/>
      </c>
      <c r="H92" s="288">
        <f>(D92+E92)-G92</f>
        <v/>
      </c>
    </row>
    <row r="93" ht="15" customHeight="1" s="231">
      <c r="A93" s="285" t="n"/>
      <c r="B93" s="286" t="n"/>
      <c r="C93" s="286" t="n"/>
      <c r="D93" s="287" t="n"/>
      <c r="E93" s="287" t="n"/>
      <c r="F93" s="285" t="n"/>
      <c r="G93" s="288">
        <f>IF(F93="Y",(D93+E93)*Settings!$B$5/(1+Settings!$B$5),0)</f>
        <v/>
      </c>
      <c r="H93" s="288">
        <f>(D93+E93)-G93</f>
        <v/>
      </c>
    </row>
    <row r="94" ht="15" customHeight="1" s="231">
      <c r="A94" s="285" t="n"/>
      <c r="B94" s="286" t="n"/>
      <c r="C94" s="286" t="n"/>
      <c r="D94" s="287" t="n"/>
      <c r="E94" s="287" t="n"/>
      <c r="F94" s="285" t="n"/>
      <c r="G94" s="288">
        <f>IF(F94="Y",(D94+E94)*Settings!$B$5/(1+Settings!$B$5),0)</f>
        <v/>
      </c>
      <c r="H94" s="288">
        <f>(D94+E94)-G94</f>
        <v/>
      </c>
    </row>
    <row r="95" ht="15" customHeight="1" s="231">
      <c r="A95" s="285" t="n"/>
      <c r="B95" s="286" t="n"/>
      <c r="C95" s="286" t="n"/>
      <c r="D95" s="287" t="n"/>
      <c r="E95" s="287" t="n"/>
      <c r="F95" s="285" t="n"/>
      <c r="G95" s="288">
        <f>IF(F95="Y",(D95+E95)*Settings!$B$5/(1+Settings!$B$5),0)</f>
        <v/>
      </c>
      <c r="H95" s="288">
        <f>(D95+E95)-G95</f>
        <v/>
      </c>
    </row>
    <row r="96" ht="15" customHeight="1" s="231">
      <c r="A96" s="285" t="n"/>
      <c r="B96" s="286" t="n"/>
      <c r="C96" s="286" t="n"/>
      <c r="D96" s="287" t="n"/>
      <c r="E96" s="287" t="n"/>
      <c r="F96" s="285" t="n"/>
      <c r="G96" s="288">
        <f>IF(F96="Y",(D96+E96)*Settings!$B$5/(1+Settings!$B$5),0)</f>
        <v/>
      </c>
      <c r="H96" s="288">
        <f>(D96+E96)-G96</f>
        <v/>
      </c>
    </row>
    <row r="97" ht="15" customHeight="1" s="231">
      <c r="A97" s="285" t="n"/>
      <c r="B97" s="286" t="n"/>
      <c r="C97" s="286" t="n"/>
      <c r="D97" s="287" t="n"/>
      <c r="E97" s="287" t="n"/>
      <c r="F97" s="285" t="n"/>
      <c r="G97" s="288">
        <f>IF(F97="Y",(D97+E97)*Settings!$B$5/(1+Settings!$B$5),0)</f>
        <v/>
      </c>
      <c r="H97" s="288">
        <f>(D97+E97)-G97</f>
        <v/>
      </c>
    </row>
    <row r="98" ht="15" customHeight="1" s="231">
      <c r="A98" s="285" t="n"/>
      <c r="B98" s="286" t="n"/>
      <c r="C98" s="286" t="n"/>
      <c r="D98" s="287" t="n"/>
      <c r="E98" s="287" t="n"/>
      <c r="F98" s="285" t="n"/>
      <c r="G98" s="288">
        <f>IF(F98="Y",(D98+E98)*Settings!$B$5/(1+Settings!$B$5),0)</f>
        <v/>
      </c>
      <c r="H98" s="288">
        <f>(D98+E98)-G98</f>
        <v/>
      </c>
    </row>
    <row r="99" ht="15" customHeight="1" s="231">
      <c r="A99" s="285" t="n"/>
      <c r="B99" s="286" t="n"/>
      <c r="C99" s="286" t="n"/>
      <c r="D99" s="287" t="n"/>
      <c r="E99" s="287" t="n"/>
      <c r="F99" s="285" t="n"/>
      <c r="G99" s="288">
        <f>IF(F99="Y",(D99+E99)*Settings!$B$5/(1+Settings!$B$5),0)</f>
        <v/>
      </c>
      <c r="H99" s="288">
        <f>(D99+E99)-G99</f>
        <v/>
      </c>
    </row>
    <row r="100" ht="15" customHeight="1" s="231">
      <c r="A100" s="285" t="n"/>
      <c r="B100" s="286" t="n"/>
      <c r="C100" s="286" t="n"/>
      <c r="D100" s="287" t="n"/>
      <c r="E100" s="287" t="n"/>
      <c r="F100" s="285" t="n"/>
      <c r="G100" s="288">
        <f>IF(F100="Y",(D100+E100)*Settings!$B$5/(1+Settings!$B$5),0)</f>
        <v/>
      </c>
      <c r="H100" s="288">
        <f>(D100+E100)-G100</f>
        <v/>
      </c>
    </row>
    <row r="101" ht="15" customHeight="1" s="231">
      <c r="A101" s="285" t="n"/>
      <c r="B101" s="286" t="n"/>
      <c r="C101" s="286" t="n"/>
      <c r="D101" s="287" t="n"/>
      <c r="E101" s="287" t="n"/>
      <c r="F101" s="285" t="n"/>
      <c r="G101" s="288">
        <f>IF(F101="Y",(D101+E101)*Settings!$B$5/(1+Settings!$B$5),0)</f>
        <v/>
      </c>
      <c r="H101" s="288">
        <f>(D101+E101)-G101</f>
        <v/>
      </c>
    </row>
    <row r="102" ht="15" customHeight="1" s="231">
      <c r="A102" s="285" t="n"/>
      <c r="B102" s="286" t="n"/>
      <c r="C102" s="286" t="n"/>
      <c r="D102" s="287" t="n"/>
      <c r="E102" s="287" t="n"/>
      <c r="F102" s="285" t="n"/>
      <c r="G102" s="288">
        <f>IF(F102="Y",(D102+E102)*Settings!$B$5/(1+Settings!$B$5),0)</f>
        <v/>
      </c>
      <c r="H102" s="288">
        <f>(D102+E102)-G102</f>
        <v/>
      </c>
    </row>
    <row r="103" ht="15" customHeight="1" s="231">
      <c r="A103" s="285" t="n"/>
      <c r="B103" s="286" t="n"/>
      <c r="C103" s="286" t="n"/>
      <c r="D103" s="287" t="n"/>
      <c r="E103" s="287" t="n"/>
      <c r="F103" s="285" t="n"/>
      <c r="G103" s="288">
        <f>IF(F103="Y",(D103+E103)*Settings!$B$5/(1+Settings!$B$5),0)</f>
        <v/>
      </c>
      <c r="H103" s="288">
        <f>(D103+E103)-G103</f>
        <v/>
      </c>
    </row>
    <row r="104" ht="15" customHeight="1" s="231">
      <c r="A104" s="289" t="inlineStr">
        <is>
          <t>TOTALS</t>
        </is>
      </c>
      <c r="D104" s="281">
        <f>SUM(D4:D103)</f>
        <v/>
      </c>
      <c r="E104" s="281">
        <f>SUM(E4:E103)</f>
        <v/>
      </c>
      <c r="F104" s="282" t="n"/>
      <c r="G104" s="281">
        <f>SUM(G4:G103)</f>
        <v/>
      </c>
      <c r="H104" s="281">
        <f>SUM(H4:H103)</f>
        <v/>
      </c>
    </row>
    <row r="106" ht="15" customHeight="1" s="231">
      <c r="A106" s="244" t="inlineStr">
        <is>
          <t>Dates as DD/MM/YYYY. Amounts entered VAT-inclusive; VAT extracted automatically when flag = Y.</t>
        </is>
      </c>
    </row>
  </sheetData>
  <sheetProtection selectLockedCells="0" selectUnlockedCells="0" sheet="1" objects="0" insertRows="1" insertHyperlinks="1" autoFilter="1" scenarios="0" formatColumns="0" deleteColumns="1" insertColumns="1" pivotTables="1" deleteRows="1" formatCells="1" formatRows="0" sort="1"/>
  <mergeCells count="4">
    <mergeCell ref="A1:H1"/>
    <mergeCell ref="E2:H2"/>
    <mergeCell ref="A2:C2"/>
    <mergeCell ref="A104:C104"/>
  </mergeCells>
  <conditionalFormatting sqref="D2">
    <cfRule type="cellIs" rank="0" priority="2" equalAverage="0" operator="equal" aboveAverage="0" dxfId="0" text="" percent="0" bottom="0">
      <formula>0</formula>
    </cfRule>
    <cfRule type="cellIs" rank="0" priority="3" equalAverage="0" operator="notEqual" aboveAverage="0" dxfId="1" text="" percent="0" bottom="0">
      <formula>0</formula>
    </cfRule>
  </conditionalFormatting>
  <dataValidations count="3">
    <dataValidation sqref="C4:C103" showDropDown="0" showInputMessage="0" showErrorMessage="1" allowBlank="1" errorTitle="Conta inválida" error="Escolha uma conta do Chart of Accounts (Settings)." type="list" errorStyle="stop" operator="between">
      <formula1>AccountsList</formula1>
      <formula2>0</formula2>
    </dataValidation>
    <dataValidation sqref="F4:F103" showDropDown="0" showInputMessage="0" showErrorMessage="1" allowBlank="1" errorTitle="Valor inválido" error="Use apenas Y ou N." type="list" errorStyle="stop" operator="between">
      <formula1>"Y,N"</formula1>
      <formula2>0</formula2>
    </dataValidation>
    <dataValidation sqref="D4:E103" showDropDown="0" showInputMessage="0" showErrorMessage="1" allowBlank="1" errorTitle="Valor inválido" error="Montantes devem ser ≥ 0 (use a coluna Débito ou Crédito)." type="decimal" errorStyle="stop" operator="greaterThanOrEqual">
      <formula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2E4B8A"/>
    <outlinePr summaryBelow="1" summaryRight="1"/>
    <pageSetUpPr fitToPage="0"/>
  </sheetPr>
  <dimension ref="A1:F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230" min="1" max="1"/>
    <col width="38" customWidth="1" style="230" min="2" max="2"/>
    <col width="16" customWidth="1" style="230" min="3" max="3"/>
    <col width="18" customWidth="1" style="230" min="4" max="5"/>
    <col width="30" customWidth="1" style="230" min="6" max="6"/>
  </cols>
  <sheetData>
    <row r="1" ht="21.75" customHeight="1" s="231">
      <c r="A1" s="290">
        <f>Settings!B8&amp;" | TRIAL BALANCE  |  Balancete  |  "&amp;Settings!B7</f>
        <v/>
      </c>
    </row>
    <row r="2" ht="15" customHeight="1" s="231">
      <c r="A2" s="291" t="inlineStr">
        <is>
          <t>Auto-generated from the General Journal. Debits must equal Credits.</t>
        </is>
      </c>
      <c r="D2" s="292" t="inlineStr">
        <is>
          <t>DIFFERENCE (must be 0):</t>
        </is>
      </c>
      <c r="E2" s="293">
        <f>D32-E32</f>
        <v/>
      </c>
      <c r="F2" s="294" t="n"/>
    </row>
    <row r="3" ht="15" customHeight="1" s="231">
      <c r="A3" s="295" t="inlineStr">
        <is>
          <t>#</t>
        </is>
      </c>
      <c r="B3" s="296" t="inlineStr">
        <is>
          <t>Account</t>
        </is>
      </c>
      <c r="C3" s="296" t="inlineStr">
        <is>
          <t>Category</t>
        </is>
      </c>
      <c r="D3" s="295" t="inlineStr">
        <is>
          <t>Debit (NAD)</t>
        </is>
      </c>
      <c r="E3" s="295" t="inlineStr">
        <is>
          <t>Credit (NAD)</t>
        </is>
      </c>
      <c r="F3" s="295" t="inlineStr">
        <is>
          <t>Statement</t>
        </is>
      </c>
    </row>
    <row r="4" ht="15" customHeight="1" s="231">
      <c r="A4" s="297" t="n">
        <v>1</v>
      </c>
      <c r="B4" s="298">
        <f>Settings!A12</f>
        <v/>
      </c>
      <c r="C4" s="298">
        <f>Settings!B12</f>
        <v/>
      </c>
      <c r="D4" s="299">
        <f>MAX(0,SUMIF(Journal!$C:$C,$B4,Journal!$D:$D)-SUMIF(Journal!$C:$C,$B4,Journal!$E:$E))</f>
        <v/>
      </c>
      <c r="E4" s="299">
        <f>MAX(0,SUMIF(Journal!$C:$C,$B4,Journal!$E:$E)-SUMIF(Journal!$C:$C,$B4,Journal!$D:$D))</f>
        <v/>
      </c>
      <c r="F4" s="300">
        <f>Settings!C12</f>
        <v/>
      </c>
    </row>
    <row r="5" ht="15" customHeight="1" s="231">
      <c r="A5" s="297" t="n">
        <v>2</v>
      </c>
      <c r="B5" s="298">
        <f>Settings!A13</f>
        <v/>
      </c>
      <c r="C5" s="298">
        <f>Settings!B13</f>
        <v/>
      </c>
      <c r="D5" s="299">
        <f>MAX(0,SUMIF(Journal!$C:$C,$B5,Journal!$D:$D)-SUMIF(Journal!$C:$C,$B5,Journal!$E:$E))</f>
        <v/>
      </c>
      <c r="E5" s="299">
        <f>MAX(0,SUMIF(Journal!$C:$C,$B5,Journal!$E:$E)-SUMIF(Journal!$C:$C,$B5,Journal!$D:$D))</f>
        <v/>
      </c>
      <c r="F5" s="300">
        <f>Settings!C13</f>
        <v/>
      </c>
    </row>
    <row r="6" ht="15" customHeight="1" s="231">
      <c r="A6" s="297" t="n">
        <v>3</v>
      </c>
      <c r="B6" s="298">
        <f>Settings!A14</f>
        <v/>
      </c>
      <c r="C6" s="298">
        <f>Settings!B14</f>
        <v/>
      </c>
      <c r="D6" s="299">
        <f>MAX(0,SUMIF(Journal!$C:$C,$B6,Journal!$D:$D)-SUMIF(Journal!$C:$C,$B6,Journal!$E:$E))</f>
        <v/>
      </c>
      <c r="E6" s="299">
        <f>MAX(0,SUMIF(Journal!$C:$C,$B6,Journal!$E:$E)-SUMIF(Journal!$C:$C,$B6,Journal!$D:$D))</f>
        <v/>
      </c>
      <c r="F6" s="300">
        <f>Settings!C14</f>
        <v/>
      </c>
    </row>
    <row r="7" ht="15" customHeight="1" s="231">
      <c r="A7" s="297" t="n">
        <v>4</v>
      </c>
      <c r="B7" s="298">
        <f>Settings!A15</f>
        <v/>
      </c>
      <c r="C7" s="298">
        <f>Settings!B15</f>
        <v/>
      </c>
      <c r="D7" s="299">
        <f>MAX(0,SUMIF(Journal!$C:$C,$B7,Journal!$D:$D)-SUMIF(Journal!$C:$C,$B7,Journal!$E:$E))</f>
        <v/>
      </c>
      <c r="E7" s="299">
        <f>MAX(0,SUMIF(Journal!$C:$C,$B7,Journal!$E:$E)-SUMIF(Journal!$C:$C,$B7,Journal!$D:$D))</f>
        <v/>
      </c>
      <c r="F7" s="300">
        <f>Settings!C15</f>
        <v/>
      </c>
    </row>
    <row r="8" ht="15" customHeight="1" s="231">
      <c r="A8" s="297" t="n">
        <v>5</v>
      </c>
      <c r="B8" s="298">
        <f>Settings!A16</f>
        <v/>
      </c>
      <c r="C8" s="298">
        <f>Settings!B16</f>
        <v/>
      </c>
      <c r="D8" s="299">
        <f>MAX(0,SUMIF(Journal!$C:$C,$B8,Journal!$D:$D)-SUMIF(Journal!$C:$C,$B8,Journal!$E:$E))</f>
        <v/>
      </c>
      <c r="E8" s="299">
        <f>MAX(0,SUMIF(Journal!$C:$C,$B8,Journal!$E:$E)-SUMIF(Journal!$C:$C,$B8,Journal!$D:$D))</f>
        <v/>
      </c>
      <c r="F8" s="300">
        <f>Settings!C16</f>
        <v/>
      </c>
    </row>
    <row r="9" ht="15" customHeight="1" s="231">
      <c r="A9" s="297" t="n">
        <v>6</v>
      </c>
      <c r="B9" s="298">
        <f>Settings!A17</f>
        <v/>
      </c>
      <c r="C9" s="298">
        <f>Settings!B17</f>
        <v/>
      </c>
      <c r="D9" s="299">
        <f>MAX(0,SUMIF(Journal!$C:$C,$B9,Journal!$D:$D)-SUMIF(Journal!$C:$C,$B9,Journal!$E:$E))</f>
        <v/>
      </c>
      <c r="E9" s="299">
        <f>MAX(0,SUMIF(Journal!$C:$C,$B9,Journal!$E:$E)-SUMIF(Journal!$C:$C,$B9,Journal!$D:$D))</f>
        <v/>
      </c>
      <c r="F9" s="300">
        <f>Settings!C17</f>
        <v/>
      </c>
    </row>
    <row r="10" ht="15" customHeight="1" s="231">
      <c r="A10" s="297" t="n">
        <v>7</v>
      </c>
      <c r="B10" s="298">
        <f>Settings!A18</f>
        <v/>
      </c>
      <c r="C10" s="298">
        <f>Settings!B18</f>
        <v/>
      </c>
      <c r="D10" s="299">
        <f>MAX(0,SUMIF(Journal!$C:$C,$B10,Journal!$D:$D)-SUMIF(Journal!$C:$C,$B10,Journal!$E:$E))</f>
        <v/>
      </c>
      <c r="E10" s="299">
        <f>MAX(0,SUMIF(Journal!$C:$C,$B10,Journal!$E:$E)-SUMIF(Journal!$C:$C,$B10,Journal!$D:$D))</f>
        <v/>
      </c>
      <c r="F10" s="300">
        <f>Settings!C18</f>
        <v/>
      </c>
    </row>
    <row r="11" ht="15" customHeight="1" s="231">
      <c r="A11" s="297" t="n">
        <v>8</v>
      </c>
      <c r="B11" s="298">
        <f>Settings!A19</f>
        <v/>
      </c>
      <c r="C11" s="298">
        <f>Settings!B19</f>
        <v/>
      </c>
      <c r="D11" s="299">
        <f>MAX(0,SUMIF(Journal!$C:$C,$B11,Journal!$D:$D)-SUMIF(Journal!$C:$C,$B11,Journal!$E:$E))</f>
        <v/>
      </c>
      <c r="E11" s="299">
        <f>MAX(0,SUMIF(Journal!$C:$C,$B11,Journal!$E:$E)-SUMIF(Journal!$C:$C,$B11,Journal!$D:$D))</f>
        <v/>
      </c>
      <c r="F11" s="300">
        <f>Settings!C19</f>
        <v/>
      </c>
    </row>
    <row r="12" ht="15" customHeight="1" s="231">
      <c r="A12" s="297" t="n">
        <v>9</v>
      </c>
      <c r="B12" s="298">
        <f>Settings!A20</f>
        <v/>
      </c>
      <c r="C12" s="298">
        <f>Settings!B20</f>
        <v/>
      </c>
      <c r="D12" s="299">
        <f>MAX(0,SUMIF(Journal!$C:$C,$B12,Journal!$D:$D)-SUMIF(Journal!$C:$C,$B12,Journal!$E:$E))</f>
        <v/>
      </c>
      <c r="E12" s="299">
        <f>MAX(0,SUMIF(Journal!$C:$C,$B12,Journal!$E:$E)-SUMIF(Journal!$C:$C,$B12,Journal!$D:$D))</f>
        <v/>
      </c>
      <c r="F12" s="300">
        <f>Settings!C20</f>
        <v/>
      </c>
    </row>
    <row r="13" ht="15" customHeight="1" s="231">
      <c r="A13" s="297" t="n">
        <v>10</v>
      </c>
      <c r="B13" s="298">
        <f>Settings!A21</f>
        <v/>
      </c>
      <c r="C13" s="298">
        <f>Settings!B21</f>
        <v/>
      </c>
      <c r="D13" s="299">
        <f>MAX(0,SUMIF(Journal!$C:$C,$B13,Journal!$D:$D)-SUMIF(Journal!$C:$C,$B13,Journal!$E:$E))</f>
        <v/>
      </c>
      <c r="E13" s="299">
        <f>MAX(0,SUMIF(Journal!$C:$C,$B13,Journal!$E:$E)-SUMIF(Journal!$C:$C,$B13,Journal!$D:$D))</f>
        <v/>
      </c>
      <c r="F13" s="300">
        <f>Settings!C21</f>
        <v/>
      </c>
    </row>
    <row r="14" ht="15" customHeight="1" s="231">
      <c r="A14" s="297" t="n">
        <v>11</v>
      </c>
      <c r="B14" s="298">
        <f>Settings!A22</f>
        <v/>
      </c>
      <c r="C14" s="298">
        <f>Settings!B22</f>
        <v/>
      </c>
      <c r="D14" s="299">
        <f>MAX(0,SUMIF(Journal!$C:$C,$B14,Journal!$D:$D)-SUMIF(Journal!$C:$C,$B14,Journal!$E:$E))</f>
        <v/>
      </c>
      <c r="E14" s="299">
        <f>MAX(0,SUMIF(Journal!$C:$C,$B14,Journal!$E:$E)-SUMIF(Journal!$C:$C,$B14,Journal!$D:$D))</f>
        <v/>
      </c>
      <c r="F14" s="300">
        <f>Settings!C22</f>
        <v/>
      </c>
    </row>
    <row r="15" ht="15" customHeight="1" s="231">
      <c r="A15" s="297" t="n">
        <v>12</v>
      </c>
      <c r="B15" s="298">
        <f>Settings!A23</f>
        <v/>
      </c>
      <c r="C15" s="298">
        <f>Settings!B23</f>
        <v/>
      </c>
      <c r="D15" s="299">
        <f>MAX(0,SUMIF(Journal!$C:$C,$B15,Journal!$D:$D)-SUMIF(Journal!$C:$C,$B15,Journal!$E:$E))</f>
        <v/>
      </c>
      <c r="E15" s="299">
        <f>MAX(0,SUMIF(Journal!$C:$C,$B15,Journal!$E:$E)-SUMIF(Journal!$C:$C,$B15,Journal!$D:$D))</f>
        <v/>
      </c>
      <c r="F15" s="300">
        <f>Settings!C23</f>
        <v/>
      </c>
    </row>
    <row r="16" ht="15" customHeight="1" s="231">
      <c r="A16" s="297" t="n">
        <v>13</v>
      </c>
      <c r="B16" s="298">
        <f>Settings!A24</f>
        <v/>
      </c>
      <c r="C16" s="298">
        <f>Settings!B24</f>
        <v/>
      </c>
      <c r="D16" s="299">
        <f>MAX(0,SUMIF(Journal!$C:$C,$B16,Journal!$D:$D)-SUMIF(Journal!$C:$C,$B16,Journal!$E:$E))</f>
        <v/>
      </c>
      <c r="E16" s="299">
        <f>MAX(0,SUMIF(Journal!$C:$C,$B16,Journal!$E:$E)-SUMIF(Journal!$C:$C,$B16,Journal!$D:$D))</f>
        <v/>
      </c>
      <c r="F16" s="300">
        <f>Settings!C24</f>
        <v/>
      </c>
    </row>
    <row r="17" ht="15" customHeight="1" s="231">
      <c r="A17" s="297" t="n">
        <v>14</v>
      </c>
      <c r="B17" s="298">
        <f>Settings!A25</f>
        <v/>
      </c>
      <c r="C17" s="298">
        <f>Settings!B25</f>
        <v/>
      </c>
      <c r="D17" s="299">
        <f>MAX(0,SUMIF(Journal!$C:$C,$B17,Journal!$D:$D)-SUMIF(Journal!$C:$C,$B17,Journal!$E:$E))</f>
        <v/>
      </c>
      <c r="E17" s="299">
        <f>MAX(0,SUMIF(Journal!$C:$C,$B17,Journal!$E:$E)-SUMIF(Journal!$C:$C,$B17,Journal!$D:$D))</f>
        <v/>
      </c>
      <c r="F17" s="300">
        <f>Settings!C25</f>
        <v/>
      </c>
    </row>
    <row r="18" ht="15" customHeight="1" s="231">
      <c r="A18" s="297" t="n">
        <v>15</v>
      </c>
      <c r="B18" s="298">
        <f>Settings!A26</f>
        <v/>
      </c>
      <c r="C18" s="298">
        <f>Settings!B26</f>
        <v/>
      </c>
      <c r="D18" s="299">
        <f>MAX(0,SUMIF(Journal!$C:$C,$B18,Journal!$D:$D)-SUMIF(Journal!$C:$C,$B18,Journal!$E:$E))</f>
        <v/>
      </c>
      <c r="E18" s="299">
        <f>MAX(0,SUMIF(Journal!$C:$C,$B18,Journal!$E:$E)-SUMIF(Journal!$C:$C,$B18,Journal!$D:$D))</f>
        <v/>
      </c>
      <c r="F18" s="300">
        <f>Settings!C26</f>
        <v/>
      </c>
    </row>
    <row r="19" ht="15" customHeight="1" s="231">
      <c r="A19" s="297" t="n">
        <v>16</v>
      </c>
      <c r="B19" s="298">
        <f>Settings!A27</f>
        <v/>
      </c>
      <c r="C19" s="298">
        <f>Settings!B27</f>
        <v/>
      </c>
      <c r="D19" s="299">
        <f>MAX(0,SUMIF(Journal!$C:$C,$B19,Journal!$D:$D)-SUMIF(Journal!$C:$C,$B19,Journal!$E:$E))</f>
        <v/>
      </c>
      <c r="E19" s="299">
        <f>MAX(0,SUMIF(Journal!$C:$C,$B19,Journal!$E:$E)-SUMIF(Journal!$C:$C,$B19,Journal!$D:$D))</f>
        <v/>
      </c>
      <c r="F19" s="300">
        <f>Settings!C27</f>
        <v/>
      </c>
    </row>
    <row r="20" ht="15" customHeight="1" s="231">
      <c r="A20" s="297" t="n">
        <v>17</v>
      </c>
      <c r="B20" s="298">
        <f>Settings!A28</f>
        <v/>
      </c>
      <c r="C20" s="298">
        <f>Settings!B28</f>
        <v/>
      </c>
      <c r="D20" s="299">
        <f>MAX(0,SUMIF(Journal!$C:$C,$B20,Journal!$D:$D)-SUMIF(Journal!$C:$C,$B20,Journal!$E:$E))</f>
        <v/>
      </c>
      <c r="E20" s="299">
        <f>MAX(0,SUMIF(Journal!$C:$C,$B20,Journal!$E:$E)-SUMIF(Journal!$C:$C,$B20,Journal!$D:$D))</f>
        <v/>
      </c>
      <c r="F20" s="300">
        <f>Settings!C28</f>
        <v/>
      </c>
    </row>
    <row r="21" ht="15" customHeight="1" s="231">
      <c r="A21" s="297" t="n">
        <v>18</v>
      </c>
      <c r="B21" s="298">
        <f>Settings!A29</f>
        <v/>
      </c>
      <c r="C21" s="298">
        <f>Settings!B29</f>
        <v/>
      </c>
      <c r="D21" s="299">
        <f>MAX(0,SUMIF(Journal!$C:$C,$B21,Journal!$D:$D)-SUMIF(Journal!$C:$C,$B21,Journal!$E:$E))</f>
        <v/>
      </c>
      <c r="E21" s="299">
        <f>MAX(0,SUMIF(Journal!$C:$C,$B21,Journal!$E:$E)-SUMIF(Journal!$C:$C,$B21,Journal!$D:$D))</f>
        <v/>
      </c>
      <c r="F21" s="300">
        <f>Settings!C29</f>
        <v/>
      </c>
    </row>
    <row r="22" ht="15" customHeight="1" s="231">
      <c r="A22" s="297" t="n">
        <v>19</v>
      </c>
      <c r="B22" s="298">
        <f>Settings!A30</f>
        <v/>
      </c>
      <c r="C22" s="298">
        <f>Settings!B30</f>
        <v/>
      </c>
      <c r="D22" s="299">
        <f>MAX(0,SUMIF(Journal!$C:$C,$B22,Journal!$D:$D)-SUMIF(Journal!$C:$C,$B22,Journal!$E:$E))</f>
        <v/>
      </c>
      <c r="E22" s="299">
        <f>MAX(0,SUMIF(Journal!$C:$C,$B22,Journal!$E:$E)-SUMIF(Journal!$C:$C,$B22,Journal!$D:$D))</f>
        <v/>
      </c>
      <c r="F22" s="300">
        <f>Settings!C30</f>
        <v/>
      </c>
    </row>
    <row r="23" ht="15" customHeight="1" s="231">
      <c r="A23" s="297" t="n">
        <v>20</v>
      </c>
      <c r="B23" s="298">
        <f>Settings!A31</f>
        <v/>
      </c>
      <c r="C23" s="298">
        <f>Settings!B31</f>
        <v/>
      </c>
      <c r="D23" s="299">
        <f>MAX(0,SUMIF(Journal!$C:$C,$B23,Journal!$D:$D)-SUMIF(Journal!$C:$C,$B23,Journal!$E:$E))</f>
        <v/>
      </c>
      <c r="E23" s="299">
        <f>MAX(0,SUMIF(Journal!$C:$C,$B23,Journal!$E:$E)-SUMIF(Journal!$C:$C,$B23,Journal!$D:$D))</f>
        <v/>
      </c>
      <c r="F23" s="300">
        <f>Settings!C31</f>
        <v/>
      </c>
    </row>
    <row r="24" ht="15" customHeight="1" s="231">
      <c r="A24" s="297" t="n">
        <v>21</v>
      </c>
      <c r="B24" s="298">
        <f>Settings!A32</f>
        <v/>
      </c>
      <c r="C24" s="298">
        <f>Settings!B32</f>
        <v/>
      </c>
      <c r="D24" s="299">
        <f>MAX(0,SUMIF(Journal!$C:$C,$B24,Journal!$D:$D)-SUMIF(Journal!$C:$C,$B24,Journal!$E:$E))</f>
        <v/>
      </c>
      <c r="E24" s="299">
        <f>MAX(0,SUMIF(Journal!$C:$C,$B24,Journal!$E:$E)-SUMIF(Journal!$C:$C,$B24,Journal!$D:$D))</f>
        <v/>
      </c>
      <c r="F24" s="300">
        <f>Settings!C32</f>
        <v/>
      </c>
    </row>
    <row r="25" ht="15" customHeight="1" s="231">
      <c r="A25" s="297" t="n">
        <v>22</v>
      </c>
      <c r="B25" s="298">
        <f>Settings!A33</f>
        <v/>
      </c>
      <c r="C25" s="298">
        <f>Settings!B33</f>
        <v/>
      </c>
      <c r="D25" s="299">
        <f>MAX(0,SUMIF(Journal!$C:$C,$B25,Journal!$D:$D)-SUMIF(Journal!$C:$C,$B25,Journal!$E:$E))</f>
        <v/>
      </c>
      <c r="E25" s="299">
        <f>MAX(0,SUMIF(Journal!$C:$C,$B25,Journal!$E:$E)-SUMIF(Journal!$C:$C,$B25,Journal!$D:$D))</f>
        <v/>
      </c>
      <c r="F25" s="300">
        <f>Settings!C33</f>
        <v/>
      </c>
    </row>
    <row r="26" ht="15" customHeight="1" s="231">
      <c r="A26" s="297" t="n">
        <v>23</v>
      </c>
      <c r="B26" s="298">
        <f>Settings!A34</f>
        <v/>
      </c>
      <c r="C26" s="298">
        <f>Settings!B34</f>
        <v/>
      </c>
      <c r="D26" s="299">
        <f>MAX(0,SUMIF(Journal!$C:$C,$B26,Journal!$D:$D)-SUMIF(Journal!$C:$C,$B26,Journal!$E:$E))</f>
        <v/>
      </c>
      <c r="E26" s="299">
        <f>MAX(0,SUMIF(Journal!$C:$C,$B26,Journal!$E:$E)-SUMIF(Journal!$C:$C,$B26,Journal!$D:$D))</f>
        <v/>
      </c>
      <c r="F26" s="300">
        <f>Settings!C34</f>
        <v/>
      </c>
    </row>
    <row r="27" ht="15" customHeight="1" s="231">
      <c r="A27" s="297" t="n">
        <v>24</v>
      </c>
      <c r="B27" s="298">
        <f>Settings!A35</f>
        <v/>
      </c>
      <c r="C27" s="298">
        <f>Settings!B35</f>
        <v/>
      </c>
      <c r="D27" s="299">
        <f>MAX(0,SUMIF(Journal!$C:$C,$B27,Journal!$D:$D)-SUMIF(Journal!$C:$C,$B27,Journal!$E:$E))</f>
        <v/>
      </c>
      <c r="E27" s="299">
        <f>MAX(0,SUMIF(Journal!$C:$C,$B27,Journal!$E:$E)-SUMIF(Journal!$C:$C,$B27,Journal!$D:$D))</f>
        <v/>
      </c>
      <c r="F27" s="300">
        <f>Settings!C35</f>
        <v/>
      </c>
    </row>
    <row r="28" ht="15" customHeight="1" s="231">
      <c r="A28" s="297" t="n">
        <v>25</v>
      </c>
      <c r="B28" s="298">
        <f>Settings!A36</f>
        <v/>
      </c>
      <c r="C28" s="298">
        <f>Settings!B36</f>
        <v/>
      </c>
      <c r="D28" s="299">
        <f>MAX(0,SUMIF(Journal!$C:$C,$B28,Journal!$D:$D)-SUMIF(Journal!$C:$C,$B28,Journal!$E:$E))</f>
        <v/>
      </c>
      <c r="E28" s="299">
        <f>MAX(0,SUMIF(Journal!$C:$C,$B28,Journal!$E:$E)-SUMIF(Journal!$C:$C,$B28,Journal!$D:$D))</f>
        <v/>
      </c>
      <c r="F28" s="300">
        <f>Settings!C36</f>
        <v/>
      </c>
    </row>
    <row r="29" ht="15" customHeight="1" s="231">
      <c r="A29" s="297" t="n">
        <v>26</v>
      </c>
      <c r="B29" s="298">
        <f>Settings!A37</f>
        <v/>
      </c>
      <c r="C29" s="298">
        <f>Settings!B37</f>
        <v/>
      </c>
      <c r="D29" s="299">
        <f>MAX(0,SUMIF(Journal!$C:$C,$B29,Journal!$D:$D)-SUMIF(Journal!$C:$C,$B29,Journal!$E:$E))</f>
        <v/>
      </c>
      <c r="E29" s="299">
        <f>MAX(0,SUMIF(Journal!$C:$C,$B29,Journal!$E:$E)-SUMIF(Journal!$C:$C,$B29,Journal!$D:$D))</f>
        <v/>
      </c>
      <c r="F29" s="300">
        <f>Settings!C37</f>
        <v/>
      </c>
    </row>
    <row r="30" ht="15" customHeight="1" s="231">
      <c r="A30" s="297" t="n">
        <v>27</v>
      </c>
      <c r="B30" s="298">
        <f>Settings!A38</f>
        <v/>
      </c>
      <c r="C30" s="298">
        <f>Settings!B38</f>
        <v/>
      </c>
      <c r="D30" s="299">
        <f>MAX(0,SUMIF(Journal!$C:$C,$B30,Journal!$D:$D)-SUMIF(Journal!$C:$C,$B30,Journal!$E:$E))</f>
        <v/>
      </c>
      <c r="E30" s="299">
        <f>MAX(0,SUMIF(Journal!$C:$C,$B30,Journal!$E:$E)-SUMIF(Journal!$C:$C,$B30,Journal!$D:$D))</f>
        <v/>
      </c>
      <c r="F30" s="300">
        <f>Settings!C38</f>
        <v/>
      </c>
    </row>
    <row r="31" ht="15" customHeight="1" s="231">
      <c r="A31" s="297" t="n">
        <v>28</v>
      </c>
      <c r="B31" s="298">
        <f>Settings!A39</f>
        <v/>
      </c>
      <c r="C31" s="298">
        <f>Settings!B39</f>
        <v/>
      </c>
      <c r="D31" s="299">
        <f>MAX(0,SUMIF(Journal!$C:$C,$B31,Journal!$D:$D)-SUMIF(Journal!$C:$C,$B31,Journal!$E:$E))</f>
        <v/>
      </c>
      <c r="E31" s="299">
        <f>MAX(0,SUMIF(Journal!$C:$C,$B31,Journal!$E:$E)-SUMIF(Journal!$C:$C,$B31,Journal!$D:$D))</f>
        <v/>
      </c>
      <c r="F31" s="300">
        <f>Settings!C39</f>
        <v/>
      </c>
    </row>
    <row r="32" ht="15" customHeight="1" s="231">
      <c r="A32" s="301" t="n"/>
      <c r="B32" s="302" t="inlineStr">
        <is>
          <t>TOTAL</t>
        </is>
      </c>
      <c r="C32" s="301" t="n"/>
      <c r="D32" s="303">
        <f>SUM(D4:D31)</f>
        <v/>
      </c>
      <c r="E32" s="303">
        <f>SUM(E4:E31)</f>
        <v/>
      </c>
      <c r="F32" s="301" t="n"/>
    </row>
    <row r="34" ht="19.5" customHeight="1" s="231">
      <c r="B34" s="275">
        <f>IF(D32=E32,"BALANCED  ✓  Total Debits = Total Credits","OUT OF BALANCE  ✗  Check the Journal — every entry needs equal debit &amp; credit")</f>
        <v/>
      </c>
    </row>
  </sheetData>
  <mergeCells count="3">
    <mergeCell ref="B34:F34"/>
    <mergeCell ref="A1:F1"/>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31"/>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2" customWidth="1" style="230" min="1" max="1"/>
    <col width="34" customWidth="1" style="230" min="2" max="2"/>
    <col width="18" customWidth="1" style="230" min="3" max="3"/>
    <col width="24" customWidth="1" style="230" min="4" max="4"/>
    <col width="20" customWidth="1" style="230" min="5" max="5"/>
    <col width="14" customWidth="1" style="230" min="6" max="6"/>
  </cols>
  <sheetData>
    <row r="1" ht="30" customHeight="1" s="231">
      <c r="A1" s="304">
        <f>Settings!B8&amp;" | INCOME STATEMENT (DRE)  |  For the Period Ended "&amp;Settings!B7</f>
        <v/>
      </c>
      <c r="B1" s="233" t="n"/>
      <c r="C1" s="233" t="n"/>
      <c r="D1" s="233" t="n"/>
      <c r="E1" s="305" t="inlineStr">
        <is>
          <t>Prior Period (NAD)</t>
        </is>
      </c>
      <c r="F1" s="305" t="inlineStr">
        <is>
          <t>Variation %</t>
        </is>
      </c>
    </row>
    <row r="2" ht="15" customHeight="1" s="231">
      <c r="A2" s="235" t="inlineStr">
        <is>
          <t>Line Item</t>
        </is>
      </c>
      <c r="B2" s="235" t="inlineStr">
        <is>
          <t>Account</t>
        </is>
      </c>
      <c r="C2" s="235" t="inlineStr">
        <is>
          <t>NAD</t>
        </is>
      </c>
      <c r="D2" s="235" t="inlineStr">
        <is>
          <t>Notes</t>
        </is>
      </c>
      <c r="E2" s="250" t="inlineStr">
        <is>
          <t>Prior Period (NAD)</t>
        </is>
      </c>
      <c r="F2" s="250" t="inlineStr">
        <is>
          <t>Var %</t>
        </is>
      </c>
    </row>
    <row r="3" ht="15" customHeight="1" s="231">
      <c r="A3" s="234" t="inlineStr">
        <is>
          <t>REVENUE</t>
        </is>
      </c>
      <c r="B3" s="233" t="n"/>
      <c r="C3" s="233" t="n"/>
      <c r="D3" s="233" t="n"/>
      <c r="E3" s="306" t="n"/>
    </row>
    <row r="4" ht="15" customHeight="1" s="231">
      <c r="A4" s="238" t="inlineStr">
        <is>
          <t>Sales Revenue</t>
        </is>
      </c>
      <c r="B4" s="238" t="inlineStr">
        <is>
          <t>Sales Revenue</t>
        </is>
      </c>
      <c r="C4" s="307">
        <f>SUMIF(Journal!$C:$C,"Sales Revenue",Journal!$E:$E)-SUMIF(Journal!$C:$C,"Sales Revenue",Journal!$D:$D)</f>
        <v/>
      </c>
      <c r="D4" s="238" t="n"/>
      <c r="E4" s="308" t="n">
        <v>0</v>
      </c>
      <c r="F4" s="309">
        <f>IF(E4&lt;&gt;0,(C4-E4)/ABS(E4),IF(C4&lt;&gt;0,1,0))</f>
        <v/>
      </c>
    </row>
    <row r="5" ht="15" customHeight="1" s="231">
      <c r="A5" s="238" t="inlineStr">
        <is>
          <t>Service Revenue</t>
        </is>
      </c>
      <c r="B5" s="238" t="inlineStr">
        <is>
          <t>Service Revenue</t>
        </is>
      </c>
      <c r="C5" s="307">
        <f>SUMIF(Journal!$C:$C,"Service Revenue",Journal!$E:$E)-SUMIF(Journal!$C:$C,"Service Revenue",Journal!$D:$D)</f>
        <v/>
      </c>
      <c r="D5" s="238" t="n"/>
      <c r="E5" s="308" t="n">
        <v>0</v>
      </c>
      <c r="F5" s="309">
        <f>IF(E5&lt;&gt;0,(C5-E5)/ABS(E5),IF(C5&lt;&gt;0,1,0))</f>
        <v/>
      </c>
    </row>
    <row r="6" ht="15" customHeight="1" s="231">
      <c r="A6" s="238" t="inlineStr">
        <is>
          <t>Other Income</t>
        </is>
      </c>
      <c r="B6" s="238" t="inlineStr">
        <is>
          <t>Other Income</t>
        </is>
      </c>
      <c r="C6" s="307">
        <f>SUMIF(Journal!$C:$C,"Other Income",Journal!$E:$E)-SUMIF(Journal!$C:$C,"Other Income",Journal!$D:$D)</f>
        <v/>
      </c>
      <c r="D6" s="238" t="n"/>
      <c r="E6" s="308" t="n">
        <v>0</v>
      </c>
      <c r="F6" s="309">
        <f>IF(E6&lt;&gt;0,(C6-E6)/ABS(E6),IF(C6&lt;&gt;0,1,0))</f>
        <v/>
      </c>
    </row>
    <row r="7" ht="15" customHeight="1" s="231">
      <c r="A7" s="310" t="inlineStr">
        <is>
          <t>GROSS REVENUE</t>
        </is>
      </c>
      <c r="B7" s="310" t="n"/>
      <c r="C7" s="311">
        <f>SUM(C4:C6)</f>
        <v/>
      </c>
      <c r="D7" s="310" t="n"/>
      <c r="E7" s="312" t="n">
        <v>0</v>
      </c>
      <c r="F7" s="313">
        <f>IF(E7&lt;&gt;0,(C7-E7)/ABS(E7),IF(C7&lt;&gt;0,1,0))</f>
        <v/>
      </c>
    </row>
    <row r="8" ht="15" customHeight="1" s="231">
      <c r="A8" s="234" t="inlineStr">
        <is>
          <t>COST OF GOODS SOLD (COGS)</t>
        </is>
      </c>
      <c r="B8" s="233" t="n"/>
      <c r="C8" s="233" t="n"/>
      <c r="D8" s="233" t="n"/>
      <c r="E8" s="314" t="n">
        <v>0</v>
      </c>
    </row>
    <row r="9" ht="15" customHeight="1" s="231">
      <c r="A9" s="238" t="inlineStr">
        <is>
          <t>Cost of Goods Sold</t>
        </is>
      </c>
      <c r="B9" s="238" t="inlineStr">
        <is>
          <t>Cost of Goods Sold</t>
        </is>
      </c>
      <c r="C9" s="307">
        <f>SUMIF(Journal!$C:$C,"Cost of Goods Sold",Journal!$D:$D)-SUMIF(Journal!$C:$C,"Cost of Goods Sold",Journal!$E:$E)</f>
        <v/>
      </c>
      <c r="D9" s="238" t="n"/>
      <c r="E9" s="308" t="n">
        <v>0</v>
      </c>
      <c r="F9" s="309">
        <f>IF(E9&lt;&gt;0,(C9-E9)/ABS(E9),IF(C9&lt;&gt;0,1,0))</f>
        <v/>
      </c>
    </row>
    <row r="10" ht="15" customHeight="1" s="231">
      <c r="A10" s="238" t="inlineStr">
        <is>
          <t>Direct Labour</t>
        </is>
      </c>
      <c r="B10" s="238" t="inlineStr">
        <is>
          <t>Direct Labour</t>
        </is>
      </c>
      <c r="C10" s="307">
        <f>SUMIF(Journal!$C:$C,"Direct Labour",Journal!$D:$D)-SUMIF(Journal!$C:$C,"Direct Labour",Journal!$E:$E)</f>
        <v/>
      </c>
      <c r="D10" s="238" t="n"/>
      <c r="E10" s="308" t="n">
        <v>0</v>
      </c>
      <c r="F10" s="309">
        <f>IF(E10&lt;&gt;0,(C10-E10)/ABS(E10),IF(C10&lt;&gt;0,1,0))</f>
        <v/>
      </c>
    </row>
    <row r="11" ht="15" customHeight="1" s="231">
      <c r="A11" s="310" t="inlineStr">
        <is>
          <t>TOTAL COGS</t>
        </is>
      </c>
      <c r="B11" s="310" t="n"/>
      <c r="C11" s="311">
        <f>SUM(C9:C10)</f>
        <v/>
      </c>
      <c r="D11" s="310" t="n"/>
      <c r="E11" s="312" t="n">
        <v>0</v>
      </c>
      <c r="F11" s="313">
        <f>IF(E11&lt;&gt;0,(C11-E11)/ABS(E11),IF(C11&lt;&gt;0,1,0))</f>
        <v/>
      </c>
    </row>
    <row r="12" ht="15" customHeight="1" s="231">
      <c r="A12" s="315" t="inlineStr">
        <is>
          <t>GROSS PROFIT</t>
        </is>
      </c>
      <c r="B12" s="315" t="n"/>
      <c r="C12" s="316">
        <f>C7-C11</f>
        <v/>
      </c>
      <c r="D12" s="315" t="n"/>
      <c r="E12" s="317" t="n">
        <v>0</v>
      </c>
      <c r="F12" s="318">
        <f>IF(E12&lt;&gt;0,(C12-E12)/ABS(E12),IF(C12&lt;&gt;0,1,0))</f>
        <v/>
      </c>
    </row>
    <row r="13" ht="15" customHeight="1" s="231">
      <c r="A13" s="234" t="inlineStr">
        <is>
          <t>OPERATING EXPENSES (OPEX)</t>
        </is>
      </c>
      <c r="B13" s="233" t="n"/>
      <c r="C13" s="233" t="n"/>
      <c r="D13" s="233" t="n"/>
      <c r="E13" s="314" t="n">
        <v>0</v>
      </c>
    </row>
    <row r="14" ht="15" customHeight="1" s="231">
      <c r="A14" s="238" t="inlineStr">
        <is>
          <t>Salaries &amp; Wages</t>
        </is>
      </c>
      <c r="B14" s="238" t="inlineStr">
        <is>
          <t>Salaries &amp; Wages</t>
        </is>
      </c>
      <c r="C14" s="307">
        <f>SUMIF(Journal!$C:$C,"Salaries &amp; Wages",Journal!$D:$D)-SUMIF(Journal!$C:$C,"Salaries &amp; Wages",Journal!$E:$E)</f>
        <v/>
      </c>
      <c r="D14" s="238" t="n"/>
      <c r="E14" s="308" t="n">
        <v>0</v>
      </c>
      <c r="F14" s="309">
        <f>IF(E14&lt;&gt;0,(C14-E14)/ABS(E14),IF(C14&lt;&gt;0,1,0))</f>
        <v/>
      </c>
    </row>
    <row r="15" ht="15" customHeight="1" s="231">
      <c r="A15" s="246" t="inlineStr">
        <is>
          <t>Rent Expense</t>
        </is>
      </c>
      <c r="B15" s="246" t="inlineStr">
        <is>
          <t>Rent Expense</t>
        </is>
      </c>
      <c r="C15" s="319">
        <f>SUMIF(Journal!$C:$C,"Rent Expense",Journal!$D:$D)-SUMIF(Journal!$C:$C,"Rent Expense",Journal!$E:$E)</f>
        <v/>
      </c>
      <c r="D15" s="246" t="n"/>
      <c r="E15" s="320" t="n">
        <v>0</v>
      </c>
      <c r="F15" s="321">
        <f>IF(E15&lt;&gt;0,(C15-E15)/ABS(E15),IF(C15&lt;&gt;0,1,0))</f>
        <v/>
      </c>
    </row>
    <row r="16" ht="15" customHeight="1" s="231">
      <c r="A16" s="238" t="inlineStr">
        <is>
          <t>Utilities Expense</t>
        </is>
      </c>
      <c r="B16" s="238" t="inlineStr">
        <is>
          <t>Utilities Expense</t>
        </is>
      </c>
      <c r="C16" s="307">
        <f>SUMIF(Journal!$C:$C,"Utilities Expense",Journal!$D:$D)-SUMIF(Journal!$C:$C,"Utilities Expense",Journal!$E:$E)</f>
        <v/>
      </c>
      <c r="D16" s="238" t="n"/>
      <c r="E16" s="308" t="n">
        <v>0</v>
      </c>
      <c r="F16" s="309">
        <f>IF(E16&lt;&gt;0,(C16-E16)/ABS(E16),IF(C16&lt;&gt;0,1,0))</f>
        <v/>
      </c>
    </row>
    <row r="17" ht="15" customHeight="1" s="231">
      <c r="A17" s="246" t="inlineStr">
        <is>
          <t>Marketing &amp; Advertising</t>
        </is>
      </c>
      <c r="B17" s="246" t="inlineStr">
        <is>
          <t>Marketing &amp; Advertising</t>
        </is>
      </c>
      <c r="C17" s="319">
        <f>SUMIF(Journal!$C:$C,"Marketing &amp; Advertising",Journal!$D:$D)-SUMIF(Journal!$C:$C,"Marketing &amp; Advertising",Journal!$E:$E)</f>
        <v/>
      </c>
      <c r="D17" s="246" t="n"/>
      <c r="E17" s="320" t="n">
        <v>0</v>
      </c>
      <c r="F17" s="321">
        <f>IF(E17&lt;&gt;0,(C17-E17)/ABS(E17),IF(C17&lt;&gt;0,1,0))</f>
        <v/>
      </c>
    </row>
    <row r="18" ht="15" customHeight="1" s="231">
      <c r="A18" s="238" t="inlineStr">
        <is>
          <t>Depreciation Expense</t>
        </is>
      </c>
      <c r="B18" s="238" t="inlineStr">
        <is>
          <t>Depreciation Expense</t>
        </is>
      </c>
      <c r="C18" s="307">
        <f>SUMIF(Journal!$C:$C,"Depreciation Expense",Journal!$D:$D)-SUMIF(Journal!$C:$C,"Depreciation Expense",Journal!$E:$E)</f>
        <v/>
      </c>
      <c r="D18" s="238" t="n"/>
      <c r="E18" s="308" t="n">
        <v>0</v>
      </c>
      <c r="F18" s="309">
        <f>IF(E18&lt;&gt;0,(C18-E18)/ABS(E18),IF(C18&lt;&gt;0,1,0))</f>
        <v/>
      </c>
    </row>
    <row r="19" ht="15" customHeight="1" s="231">
      <c r="A19" s="246" t="inlineStr">
        <is>
          <t>Travel &amp; Entertainment</t>
        </is>
      </c>
      <c r="B19" s="246" t="inlineStr">
        <is>
          <t>Travel &amp; Entertainment</t>
        </is>
      </c>
      <c r="C19" s="319">
        <f>SUMIF(Journal!$C:$C,"Travel &amp; Entertainment",Journal!$D:$D)-SUMIF(Journal!$C:$C,"Travel &amp; Entertainment",Journal!$E:$E)</f>
        <v/>
      </c>
      <c r="D19" s="246" t="n"/>
      <c r="E19" s="320" t="n">
        <v>0</v>
      </c>
      <c r="F19" s="321">
        <f>IF(E19&lt;&gt;0,(C19-E19)/ABS(E19),IF(C19&lt;&gt;0,1,0))</f>
        <v/>
      </c>
    </row>
    <row r="20" ht="15" customHeight="1" s="231">
      <c r="A20" s="238" t="inlineStr">
        <is>
          <t>Professional Fees</t>
        </is>
      </c>
      <c r="B20" s="238" t="inlineStr">
        <is>
          <t>Professional Fees</t>
        </is>
      </c>
      <c r="C20" s="307">
        <f>SUMIF(Journal!$C:$C,"Professional Fees",Journal!$D:$D)-SUMIF(Journal!$C:$C,"Professional Fees",Journal!$E:$E)</f>
        <v/>
      </c>
      <c r="D20" s="238" t="n"/>
      <c r="E20" s="308" t="n">
        <v>0</v>
      </c>
      <c r="F20" s="309">
        <f>IF(E20&lt;&gt;0,(C20-E20)/ABS(E20),IF(C20&lt;&gt;0,1,0))</f>
        <v/>
      </c>
    </row>
    <row r="21" ht="15" customHeight="1" s="231">
      <c r="A21" s="246" t="inlineStr">
        <is>
          <t>Bank Charges</t>
        </is>
      </c>
      <c r="B21" s="246" t="inlineStr">
        <is>
          <t>Bank Charges</t>
        </is>
      </c>
      <c r="C21" s="319">
        <f>SUMIF(Journal!$C:$C,"Bank Charges",Journal!$D:$D)-SUMIF(Journal!$C:$C,"Bank Charges",Journal!$E:$E)</f>
        <v/>
      </c>
      <c r="D21" s="246" t="n"/>
      <c r="E21" s="320" t="n">
        <v>0</v>
      </c>
      <c r="F21" s="321">
        <f>IF(E21&lt;&gt;0,(C21-E21)/ABS(E21),IF(C21&lt;&gt;0,1,0))</f>
        <v/>
      </c>
    </row>
    <row r="22" ht="15" customHeight="1" s="231">
      <c r="A22" s="238" t="inlineStr">
        <is>
          <t>Fines &amp; Penalties</t>
        </is>
      </c>
      <c r="B22" s="238" t="inlineStr">
        <is>
          <t>Fines &amp; Penalties (Non-Deductible)</t>
        </is>
      </c>
      <c r="C22" s="307">
        <f>SUMIF(Journal!$C:$C,"Fines &amp; Penalties (Non-Deductible)",Journal!$D:$D)-SUMIF(Journal!$C:$C,"Fines &amp; Penalties (Non-Deductible)",Journal!$E:$E)</f>
        <v/>
      </c>
      <c r="D22" s="238" t="n"/>
      <c r="E22" s="308" t="n">
        <v>0</v>
      </c>
      <c r="F22" s="309">
        <f>IF(E22&lt;&gt;0,(C22-E22)/ABS(E22),IF(C22&lt;&gt;0,1,0))</f>
        <v/>
      </c>
    </row>
    <row r="23" ht="15" customHeight="1" s="231">
      <c r="A23" s="246" t="inlineStr">
        <is>
          <t>Entertainment (50%)</t>
        </is>
      </c>
      <c r="B23" s="246" t="inlineStr">
        <is>
          <t>Entertainment (50% Non-Deductible)</t>
        </is>
      </c>
      <c r="C23" s="319">
        <f>SUMIF(Journal!$C:$C,"Entertainment (50% Non-Deductible)",Journal!$D:$D)-SUMIF(Journal!$C:$C,"Entertainment (50% Non-Deductible)",Journal!$E:$E)</f>
        <v/>
      </c>
      <c r="D23" s="246" t="n"/>
      <c r="E23" s="320" t="n">
        <v>0</v>
      </c>
      <c r="F23" s="321">
        <f>IF(E23&lt;&gt;0,(C23-E23)/ABS(E23),IF(C23&lt;&gt;0,1,0))</f>
        <v/>
      </c>
    </row>
    <row r="24" ht="15" customHeight="1" s="231">
      <c r="A24" s="310" t="inlineStr">
        <is>
          <t>TOTAL OPERATING EXPENSES</t>
        </is>
      </c>
      <c r="B24" s="310" t="n"/>
      <c r="C24" s="311">
        <f>SUM(C14:C23)</f>
        <v/>
      </c>
      <c r="D24" s="310" t="n"/>
      <c r="E24" s="312" t="n">
        <v>0</v>
      </c>
      <c r="F24" s="313">
        <f>IF(E24&lt;&gt;0,(C24-E24)/ABS(E24),IF(C24&lt;&gt;0,1,0))</f>
        <v/>
      </c>
    </row>
    <row r="25" ht="15" customHeight="1" s="231">
      <c r="A25" s="322" t="inlineStr">
        <is>
          <t>OPERATING PROFIT (EBIT)</t>
        </is>
      </c>
      <c r="B25" s="322" t="n"/>
      <c r="C25" s="316">
        <f>C12-C24</f>
        <v/>
      </c>
      <c r="D25" s="322" t="n"/>
      <c r="E25" s="317" t="n">
        <v>0</v>
      </c>
      <c r="F25" s="318">
        <f>IF(E25&lt;&gt;0,(C25-E25)/ABS(E25),IF(C25&lt;&gt;0,1,0))</f>
        <v/>
      </c>
    </row>
    <row r="26" ht="15" customHeight="1" s="231">
      <c r="A26" s="234" t="inlineStr">
        <is>
          <t>FINANCE COSTS</t>
        </is>
      </c>
      <c r="B26" s="233" t="n"/>
      <c r="C26" s="233" t="n"/>
      <c r="D26" s="233" t="n"/>
      <c r="E26" s="314" t="n">
        <v>0</v>
      </c>
    </row>
    <row r="27" ht="15" customHeight="1" s="231">
      <c r="A27" s="238" t="inlineStr">
        <is>
          <t>Interest Expense</t>
        </is>
      </c>
      <c r="B27" s="238" t="inlineStr">
        <is>
          <t>Interest Expense</t>
        </is>
      </c>
      <c r="C27" s="323">
        <f>(SUMIF(Journal!$C:$C,"Loans Payable",Journal!$E:$E)-SUMIF(Journal!$C:$C,"Loans Payable",Journal!$D:$D))*Settings!B6*Settings!B9/12</f>
        <v/>
      </c>
      <c r="D27" s="238" t="inlineStr">
        <is>
          <t>Auto: Loans balance × rate × months/12 (Settings)</t>
        </is>
      </c>
      <c r="E27" s="308" t="n">
        <v>0</v>
      </c>
      <c r="F27" s="265" t="n"/>
    </row>
    <row r="28" ht="15" customHeight="1" s="231">
      <c r="A28" s="324" t="inlineStr">
        <is>
          <t>NET PROFIT BEFORE TAX (EBT)</t>
        </is>
      </c>
      <c r="B28" s="324" t="n"/>
      <c r="C28" s="325">
        <f>C25-C27</f>
        <v/>
      </c>
      <c r="D28" s="324" t="n"/>
      <c r="E28" s="326" t="n">
        <v>0</v>
      </c>
      <c r="F28" s="327">
        <f>IF(E28&lt;&gt;0,(C28-E28)/ABS(E28),IF(C28&lt;&gt;0,1,0))</f>
        <v/>
      </c>
    </row>
    <row r="29" ht="15" customHeight="1" s="231">
      <c r="A29" s="238" t="inlineStr">
        <is>
          <t>Income Tax (see Tax Engine)</t>
        </is>
      </c>
      <c r="B29" s="238" t="n"/>
      <c r="C29" s="328">
        <f>'Tax Engine'!C30</f>
        <v/>
      </c>
      <c r="D29" s="238" t="n"/>
      <c r="E29" s="308" t="n">
        <v>0</v>
      </c>
      <c r="F29" s="309">
        <f>IF(E29&lt;&gt;0,(C29-E29)/ABS(E29),IF(C29&lt;&gt;0,1,0))</f>
        <v/>
      </c>
    </row>
    <row r="30" ht="21.75" customHeight="1" s="231">
      <c r="A30" s="239" t="inlineStr">
        <is>
          <t>Dividends Declared</t>
        </is>
      </c>
      <c r="B30" s="230" t="inlineStr">
        <is>
          <t>Manual input / Board resolution</t>
        </is>
      </c>
      <c r="C30" s="329" t="n">
        <v>0</v>
      </c>
      <c r="D30" s="230" t="inlineStr">
        <is>
          <t>Enter dividends declared during period</t>
        </is>
      </c>
    </row>
    <row r="31" ht="15" customHeight="1" s="231">
      <c r="A31" s="330" t="inlineStr">
        <is>
          <t>NET PROFIT AFTER TAX</t>
        </is>
      </c>
      <c r="B31" s="330" t="n"/>
      <c r="C31" s="331">
        <f>C28-C29</f>
        <v/>
      </c>
      <c r="D31" s="330" t="n"/>
      <c r="E31" s="332" t="n"/>
      <c r="F31" s="327">
        <f>IF(E31&lt;&gt;0,(C31-E31)/ABS(E31),IF(C31&lt;&gt;0,1,0))</f>
        <v/>
      </c>
    </row>
  </sheetData>
  <sheetProtection selectLockedCells="0" selectUnlockedCells="0" sheet="1" objects="0" insertRows="1" insertHyperlinks="1" autoFilter="1" scenarios="0" formatColumns="0" deleteColumns="1" insertColumns="1" pivotTables="1" deleteRows="1" formatCells="1" formatRows="0" sort="1"/>
  <mergeCells count="5">
    <mergeCell ref="A1:D1"/>
    <mergeCell ref="A8:D8"/>
    <mergeCell ref="A3:D3"/>
    <mergeCell ref="A26:D26"/>
    <mergeCell ref="A13:D13"/>
  </mergeCells>
  <conditionalFormatting sqref="C25">
    <cfRule type="cellIs" rank="0" priority="2" equalAverage="0" operator="lessThan" aboveAverage="0" dxfId="2" text="" percent="0" bottom="0">
      <formula>0</formula>
    </cfRule>
    <cfRule type="cellIs" rank="0" priority="3" equalAverage="0" operator="greaterThan" aboveAverage="0" dxfId="3" text="" percent="0" bottom="0">
      <formula>0</formula>
    </cfRule>
  </conditionalFormatting>
  <conditionalFormatting sqref="C30">
    <cfRule type="cellIs" rank="0" priority="4" equalAverage="0" operator="lessThan" aboveAverage="0" dxfId="2" text="" percent="0" bottom="0">
      <formula>0</formula>
    </cfRule>
    <cfRule type="cellIs" rank="0" priority="5" equalAverage="0" operator="greaterThan" aboveAverage="0" dxfId="3"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D39"/>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230" min="1" max="1"/>
    <col width="36" customWidth="1" style="230" min="2" max="2"/>
    <col width="18" customWidth="1" style="230" min="3" max="4"/>
  </cols>
  <sheetData>
    <row r="1" ht="30" customHeight="1" s="231">
      <c r="A1" s="232" t="inlineStr">
        <is>
          <t>NAMIBIA TAX ENGINE (NamRA)  |  Income Tax &amp; Provisional Tax Tracker</t>
        </is>
      </c>
      <c r="B1" s="233" t="n"/>
      <c r="C1" s="233" t="n"/>
      <c r="D1" s="233" t="n"/>
    </row>
    <row r="2" ht="15" customHeight="1" s="231">
      <c r="A2" s="333" t="inlineStr">
        <is>
          <t>Payment</t>
        </is>
      </c>
      <c r="B2" s="333" t="inlineStr">
        <is>
          <t>Due Date</t>
        </is>
      </c>
      <c r="C2" s="333" t="inlineStr">
        <is>
          <t>Amount (NAD)</t>
        </is>
      </c>
      <c r="D2" s="333" t="inlineStr">
        <is>
          <t>Status</t>
        </is>
      </c>
    </row>
    <row r="3" ht="15" customHeight="1" s="231">
      <c r="A3" s="234" t="inlineStr">
        <is>
          <t>STEP 1 – ACCOUNTING PROFIT</t>
        </is>
      </c>
      <c r="B3" s="233" t="n"/>
      <c r="C3" s="233" t="n"/>
      <c r="D3" s="233" t="n"/>
    </row>
    <row r="4" ht="15" customHeight="1" s="231">
      <c r="A4" s="238" t="inlineStr">
        <is>
          <t>Earnings Before Tax (EBT)</t>
        </is>
      </c>
      <c r="B4" s="238" t="inlineStr">
        <is>
          <t>From Income Statement</t>
        </is>
      </c>
      <c r="C4" s="328">
        <f>'Income Statement'!C28</f>
        <v/>
      </c>
      <c r="D4" s="238" t="inlineStr">
        <is>
          <t>IS tab</t>
        </is>
      </c>
    </row>
    <row r="6" ht="15" customHeight="1" s="231">
      <c r="A6" s="234" t="inlineStr">
        <is>
          <t>STEP 2 – TAX ADD-BACKS (Non-Deductible Expenses)</t>
        </is>
      </c>
      <c r="B6" s="233" t="n"/>
      <c r="C6" s="233" t="n"/>
      <c r="D6" s="233" t="n"/>
    </row>
    <row r="7" ht="15" customHeight="1" s="231">
      <c r="A7" s="238" t="inlineStr">
        <is>
          <t>Fines &amp; Penalties (Traffic/Regulatory)</t>
        </is>
      </c>
      <c r="B7" s="238" t="inlineStr">
        <is>
          <t>S17(1) ITA</t>
        </is>
      </c>
      <c r="C7" s="307">
        <f>SUMIF(Journal!$C:$C,"Fines &amp; Penalties (Non-Deductible)",Journal!$D:$D)-SUMIF(Journal!$C:$C,"Fines &amp; Penalties (Non-Deductible)",Journal!$E:$E)</f>
        <v/>
      </c>
      <c r="D7" s="238" t="inlineStr">
        <is>
          <t>Auto – Journal</t>
        </is>
      </c>
    </row>
    <row r="8" ht="15" customHeight="1" s="231">
      <c r="A8" s="238" t="inlineStr">
        <is>
          <t>50% Disallowance – Entertainment</t>
        </is>
      </c>
      <c r="B8" s="238" t="inlineStr">
        <is>
          <t>S17(1)(f) ITA</t>
        </is>
      </c>
      <c r="C8" s="307">
        <f>(SUMIF(Journal!$C:$C,"Entertainment (50% Non-Deductible)",Journal!$D:$D)-SUMIF(Journal!$C:$C,"Entertainment (50% Non-Deductible)",Journal!$E:$E))*0.5</f>
        <v/>
      </c>
      <c r="D8" s="238" t="inlineStr">
        <is>
          <t>Auto – Journal (50% of total)</t>
        </is>
      </c>
    </row>
    <row r="9" ht="15" customHeight="1" s="231">
      <c r="A9" s="238" t="inlineStr">
        <is>
          <t>Other Non-Deductible Items</t>
        </is>
      </c>
      <c r="B9" s="238" t="inlineStr">
        <is>
          <t>Manual input</t>
        </is>
      </c>
      <c r="C9" s="334" t="n">
        <v>0</v>
      </c>
      <c r="D9" s="238" t="inlineStr">
        <is>
          <t>Enter amount</t>
        </is>
      </c>
    </row>
    <row r="10" ht="15" customHeight="1" s="231">
      <c r="A10" s="310" t="inlineStr">
        <is>
          <t>TOTAL ADD-BACKS</t>
        </is>
      </c>
      <c r="B10" s="310" t="n"/>
      <c r="C10" s="311">
        <f>SUM(C7:C9)</f>
        <v/>
      </c>
      <c r="D10" s="310" t="n"/>
    </row>
    <row r="12" ht="15" customHeight="1" s="231">
      <c r="A12" s="234" t="inlineStr">
        <is>
          <t>STEP 3 – CAPITAL ALLOWANCES (Wear &amp; Tear)</t>
        </is>
      </c>
      <c r="B12" s="233" t="n"/>
      <c r="C12" s="233" t="n"/>
      <c r="D12" s="233" t="n"/>
    </row>
    <row r="13" ht="15" customHeight="1" s="231">
      <c r="A13" s="335" t="inlineStr">
        <is>
          <t>Note: NamRA Schedule – Computers 33%, Vehicles 20%, Plant 10%, Buildings 4%</t>
        </is>
      </c>
      <c r="B13" s="233" t="n"/>
      <c r="C13" s="233" t="n"/>
      <c r="D13" s="336" t="n"/>
    </row>
    <row r="14" ht="15" customHeight="1" s="231">
      <c r="A14" s="238" t="inlineStr">
        <is>
          <t>PP&amp;E – Computers &amp; Equipment (33.33% p.a.)</t>
        </is>
      </c>
      <c r="B14" s="238" t="inlineStr">
        <is>
          <t>S17B ITA</t>
        </is>
      </c>
      <c r="C14" s="307">
        <f>'Asset Register'!B33</f>
        <v/>
      </c>
      <c r="D14" s="238" t="inlineStr">
        <is>
          <t>Auto – Asset Register</t>
        </is>
      </c>
    </row>
    <row r="15" ht="15" customHeight="1" s="231">
      <c r="A15" s="238" t="inlineStr">
        <is>
          <t>PP&amp;E – Motor Vehicles (20% p.a.)</t>
        </is>
      </c>
      <c r="B15" s="238" t="inlineStr">
        <is>
          <t>S17B ITA</t>
        </is>
      </c>
      <c r="C15" s="307">
        <f>'Asset Register'!B34</f>
        <v/>
      </c>
      <c r="D15" s="238" t="inlineStr">
        <is>
          <t>Auto – Asset Register</t>
        </is>
      </c>
    </row>
    <row r="16" ht="15" customHeight="1" s="231">
      <c r="A16" s="238" t="inlineStr">
        <is>
          <t>PP&amp;E – Plant &amp; Machinery (10% p.a.)</t>
        </is>
      </c>
      <c r="B16" s="238" t="inlineStr">
        <is>
          <t>S17B ITA</t>
        </is>
      </c>
      <c r="C16" s="307">
        <f>'Asset Register'!B35</f>
        <v/>
      </c>
      <c r="D16" s="238" t="inlineStr">
        <is>
          <t>Auto – Asset Register</t>
        </is>
      </c>
    </row>
    <row r="17" ht="15" customHeight="1" s="231">
      <c r="A17" s="238" t="inlineStr">
        <is>
          <t>Industrial Buildings (4% p.a.)</t>
        </is>
      </c>
      <c r="B17" s="238" t="inlineStr">
        <is>
          <t>S17C ITA</t>
        </is>
      </c>
      <c r="C17" s="307">
        <f>'Asset Register'!B36</f>
        <v/>
      </c>
      <c r="D17" s="238" t="inlineStr">
        <is>
          <t>Auto – Asset Register</t>
        </is>
      </c>
    </row>
    <row r="18" ht="15" customHeight="1" s="231">
      <c r="A18" s="310" t="inlineStr">
        <is>
          <t>TOTAL CAPITAL ALLOWANCES</t>
        </is>
      </c>
      <c r="B18" s="310" t="n"/>
      <c r="C18" s="311">
        <f>SUM(C14:C17)</f>
        <v/>
      </c>
      <c r="D18" s="310" t="n"/>
    </row>
    <row r="20" ht="15" customHeight="1" s="231">
      <c r="A20" s="234" t="inlineStr">
        <is>
          <t>STEP 4 – TAXABLE INCOME COMPUTATION</t>
        </is>
      </c>
      <c r="B20" s="233" t="n"/>
      <c r="C20" s="233" t="n"/>
      <c r="D20" s="233" t="n"/>
    </row>
    <row r="21" ht="15" customHeight="1" s="231">
      <c r="A21" s="238" t="inlineStr">
        <is>
          <t>Accounting Profit (EBT)</t>
        </is>
      </c>
      <c r="B21" s="238" t="inlineStr">
        <is>
          <t>Step 1</t>
        </is>
      </c>
      <c r="C21" s="328">
        <f>C4</f>
        <v/>
      </c>
      <c r="D21" s="238" t="inlineStr">
        <is>
          <t>Step 1</t>
        </is>
      </c>
    </row>
    <row r="22" ht="15" customHeight="1" s="231">
      <c r="A22" s="238" t="inlineStr">
        <is>
          <t>Add: Non-Deductible Expenses</t>
        </is>
      </c>
      <c r="B22" s="238" t="inlineStr">
        <is>
          <t>Step 2</t>
        </is>
      </c>
      <c r="C22" s="337">
        <f>C10</f>
        <v/>
      </c>
      <c r="D22" s="238" t="inlineStr">
        <is>
          <t>Step 2</t>
        </is>
      </c>
    </row>
    <row r="23" ht="15" customHeight="1" s="231">
      <c r="A23" s="238" t="inlineStr">
        <is>
          <t>Less: Capital Allowances</t>
        </is>
      </c>
      <c r="B23" s="238" t="inlineStr">
        <is>
          <t>Step 3</t>
        </is>
      </c>
      <c r="C23" s="337">
        <f>-C18</f>
        <v/>
      </c>
      <c r="D23" s="238" t="inlineStr">
        <is>
          <t>Step 3</t>
        </is>
      </c>
    </row>
    <row r="24" ht="15" customHeight="1" s="231">
      <c r="A24" s="239" t="inlineStr">
        <is>
          <t>Less: Assessed loss brought forward</t>
        </is>
      </c>
      <c r="B24" s="244" t="inlineStr">
        <is>
          <t>Manual input – prior year assessment</t>
        </is>
      </c>
      <c r="C24" s="276" t="n">
        <v>0</v>
      </c>
      <c r="D24" s="244" t="inlineStr">
        <is>
          <t>NamRA: losses carried forward indefinitely</t>
        </is>
      </c>
    </row>
    <row r="25" ht="15" customHeight="1" s="231">
      <c r="A25" s="310" t="inlineStr">
        <is>
          <t>TAXABLE INCOME</t>
        </is>
      </c>
      <c r="B25" s="310" t="n"/>
      <c r="C25" s="311">
        <f>MAX(0,C21+C22+C23-C24)</f>
        <v/>
      </c>
      <c r="D25" s="310" t="n"/>
    </row>
    <row r="26" ht="15" customHeight="1" s="231">
      <c r="A26" s="230" t="n"/>
    </row>
    <row r="27" ht="15" customHeight="1" s="231">
      <c r="A27" s="234" t="inlineStr">
        <is>
          <t>STEP 5 – INCOME TAX LIABILITY</t>
        </is>
      </c>
      <c r="B27" s="245" t="n"/>
      <c r="C27" s="245" t="n"/>
      <c r="D27" s="245" t="n"/>
    </row>
    <row r="28" ht="15" customHeight="1" s="231">
      <c r="A28" s="238" t="inlineStr">
        <is>
          <t>Taxable Income</t>
        </is>
      </c>
      <c r="B28" s="238" t="inlineStr">
        <is>
          <t>Step 4</t>
        </is>
      </c>
      <c r="C28" s="337">
        <f>C25</f>
        <v/>
      </c>
      <c r="D28" s="238" t="inlineStr">
        <is>
          <t>Step 4</t>
        </is>
      </c>
    </row>
    <row r="29" ht="15" customHeight="1" s="231">
      <c r="A29" s="238" t="inlineStr">
        <is>
          <t>Corporate Tax Rate</t>
        </is>
      </c>
      <c r="B29" s="238" t="inlineStr">
        <is>
          <t>Settings</t>
        </is>
      </c>
      <c r="C29" s="338">
        <f>Settings!B4</f>
        <v/>
      </c>
      <c r="D29" s="238" t="inlineStr">
        <is>
          <t>Settings</t>
        </is>
      </c>
    </row>
    <row r="30" ht="15" customHeight="1" s="231">
      <c r="A30" s="324" t="inlineStr">
        <is>
          <t>INCOME TAX LIABILITY</t>
        </is>
      </c>
      <c r="B30" s="324" t="n"/>
      <c r="C30" s="325">
        <f>C25*C29</f>
        <v/>
      </c>
      <c r="D30" s="324" t="n"/>
    </row>
    <row r="31" ht="15" customHeight="1" s="231">
      <c r="A31" s="230" t="n"/>
    </row>
    <row r="32" ht="15" customHeight="1" s="231">
      <c r="A32" s="234" t="inlineStr">
        <is>
          <t>STEP 6 – PROVISIONAL TAX TRACKER (NamRA Two-Payment System)</t>
        </is>
      </c>
      <c r="B32" s="233" t="n"/>
      <c r="C32" s="233" t="n"/>
      <c r="D32" s="233" t="n"/>
    </row>
    <row r="33" ht="15" customHeight="1" s="231">
      <c r="A33" s="335" t="inlineStr">
        <is>
          <t>Note: P1 = 40% estimated (August);  P2 = 60% balance (February)</t>
        </is>
      </c>
      <c r="B33" s="245" t="n"/>
      <c r="C33" s="245" t="n"/>
      <c r="D33" s="339" t="n"/>
    </row>
    <row r="34" ht="15" customHeight="1" s="231">
      <c r="A34" s="238" t="inlineStr">
        <is>
          <t>1st Provisional Payment (P1)</t>
        </is>
      </c>
      <c r="B34" s="238" t="inlineStr">
        <is>
          <t>August – 40% of estimated tax</t>
        </is>
      </c>
      <c r="C34" s="337">
        <f>C30*0.4</f>
        <v/>
      </c>
      <c r="D34" s="238" t="inlineStr">
        <is>
          <t>Auto-calculated</t>
        </is>
      </c>
    </row>
    <row r="35" ht="15" customHeight="1" s="231">
      <c r="A35" s="238" t="inlineStr">
        <is>
          <t>2nd Provisional Payment (P2)</t>
        </is>
      </c>
      <c r="B35" s="238" t="inlineStr">
        <is>
          <t>February – Balancing payment</t>
        </is>
      </c>
      <c r="C35" s="337">
        <f>C30*0.6</f>
        <v/>
      </c>
      <c r="D35" s="238" t="inlineStr">
        <is>
          <t>Auto-calculated</t>
        </is>
      </c>
    </row>
    <row r="36" ht="15" customHeight="1" s="231">
      <c r="A36" s="310" t="inlineStr">
        <is>
          <t>Total Provisional Tax Paid</t>
        </is>
      </c>
      <c r="B36" s="310" t="n"/>
      <c r="C36" s="311">
        <f>SUM(C34:C35)</f>
        <v/>
      </c>
      <c r="D36" s="310" t="n"/>
    </row>
    <row r="37" ht="15" customHeight="1" s="231">
      <c r="A37" s="238" t="inlineStr">
        <is>
          <t>Tax Still Payable / (Refundable)</t>
        </is>
      </c>
      <c r="B37" s="238" t="n"/>
      <c r="C37" s="337">
        <f>C30-C36</f>
        <v/>
      </c>
      <c r="D37" s="238" t="inlineStr">
        <is>
          <t>Remaining liability</t>
        </is>
      </c>
    </row>
    <row r="39" ht="15" customHeight="1" s="231">
      <c r="A39" s="239" t="inlineStr">
        <is>
          <t>Assessed loss carried forward to next year</t>
        </is>
      </c>
      <c r="B39" s="244" t="inlineStr">
        <is>
          <t>Auto-calculated</t>
        </is>
      </c>
      <c r="C39" s="340">
        <f>MAX(0,-(C21+C22+C23-C24))</f>
        <v/>
      </c>
      <c r="D39" s="244" t="inlineStr">
        <is>
          <t>Enter in C24 next year</t>
        </is>
      </c>
    </row>
  </sheetData>
  <sheetProtection selectLockedCells="0" selectUnlockedCells="0" sheet="1" objects="0" insertRows="1" insertHyperlinks="1" autoFilter="1" scenarios="0" formatColumns="0" deleteColumns="1" insertColumns="1" pivotTables="1" deleteRows="1" formatCells="1" formatRows="0" sort="1"/>
  <mergeCells count="9">
    <mergeCell ref="A1:D1"/>
    <mergeCell ref="A31:D31"/>
    <mergeCell ref="A6:D6"/>
    <mergeCell ref="A12:D12"/>
    <mergeCell ref="A3:D3"/>
    <mergeCell ref="A20:D20"/>
    <mergeCell ref="A26:D26"/>
    <mergeCell ref="A32:D32"/>
    <mergeCell ref="A13:D13"/>
  </mergeCells>
  <conditionalFormatting sqref="C26">
    <cfRule type="cellIs" rank="0" priority="2" equalAverage="0" operator="greaterThan" aboveAverage="0" dxfId="4" text="" percent="0" bottom="0">
      <formula>0</formula>
    </cfRule>
  </conditionalFormatting>
  <conditionalFormatting sqref="C29">
    <cfRule type="cellIs" rank="0" priority="3" equalAverage="0" operator="greaterThan" aboveAverage="0" dxfId="4"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D35"/>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8" customWidth="1" style="230" min="1" max="1"/>
    <col width="30" customWidth="1" style="230" min="2" max="2"/>
    <col width="18" customWidth="1" style="230" min="3" max="3"/>
    <col width="10" customWidth="1" style="230" min="4" max="4"/>
  </cols>
  <sheetData>
    <row r="1" ht="30" customHeight="1" s="231">
      <c r="A1" s="304">
        <f>Settings!B8&amp;" | BALANCE SHEET  |  Statement of Financial Position  |  "&amp;Settings!B7</f>
        <v/>
      </c>
      <c r="B1" s="233" t="n"/>
      <c r="C1" s="233" t="n"/>
      <c r="D1" s="233" t="n"/>
    </row>
    <row r="2" ht="15" customHeight="1" s="231">
      <c r="A2" s="341" t="inlineStr">
        <is>
          <t>BALANCE CHECK  (Assets – Liabilities – Equity, should = 0):</t>
        </is>
      </c>
      <c r="B2" s="342" t="n"/>
      <c r="C2" s="343">
        <f>C15-(C27+C34)</f>
        <v/>
      </c>
      <c r="D2" s="342" t="n"/>
    </row>
    <row r="3" ht="15" customHeight="1" s="231">
      <c r="A3" s="235" t="inlineStr">
        <is>
          <t>Line Item</t>
        </is>
      </c>
      <c r="B3" s="235" t="inlineStr">
        <is>
          <t>Account / Notes</t>
        </is>
      </c>
      <c r="C3" s="235" t="inlineStr">
        <is>
          <t>NAD</t>
        </is>
      </c>
      <c r="D3" s="235" t="n"/>
    </row>
    <row r="4" ht="15" customHeight="1" s="231">
      <c r="A4" s="234" t="inlineStr">
        <is>
          <t>ASSETS</t>
        </is>
      </c>
      <c r="B4" s="233" t="n"/>
      <c r="C4" s="233" t="n"/>
      <c r="D4" s="233" t="n"/>
    </row>
    <row r="5" ht="15" customHeight="1" s="231">
      <c r="A5" s="344" t="inlineStr">
        <is>
          <t>Current Assets</t>
        </is>
      </c>
      <c r="B5" s="233" t="n"/>
      <c r="C5" s="233" t="n"/>
      <c r="D5" s="233" t="n"/>
    </row>
    <row r="6" ht="15" customHeight="1" s="231">
      <c r="A6" s="345" t="inlineStr">
        <is>
          <t>Cash &amp; Cash Equivalents</t>
        </is>
      </c>
      <c r="B6" s="238" t="inlineStr">
        <is>
          <t>Journal – Cash account</t>
        </is>
      </c>
      <c r="C6" s="307">
        <f>SUMIF(Journal!$C:$C,"Cash &amp; Cash Equivalents",Journal!$D:$D)-SUMIF(Journal!$C:$C,"Cash &amp; Cash Equivalents",Journal!$E:$E)</f>
        <v/>
      </c>
      <c r="D6" s="238" t="n"/>
    </row>
    <row r="7" ht="15" customHeight="1" s="231">
      <c r="A7" s="346" t="inlineStr">
        <is>
          <t>Accounts Receivable</t>
        </is>
      </c>
      <c r="B7" s="246" t="inlineStr">
        <is>
          <t>Journal – AR balance</t>
        </is>
      </c>
      <c r="C7" s="319">
        <f>SUMIF(Journal!$C:$C,"Accounts Receivable",Journal!$D:$D)-SUMIF(Journal!$C:$C,"Accounts Receivable",Journal!$E:$E)</f>
        <v/>
      </c>
      <c r="D7" s="246" t="n"/>
    </row>
    <row r="8" ht="15" customHeight="1" s="231">
      <c r="A8" s="345" t="inlineStr">
        <is>
          <t>Inventory</t>
        </is>
      </c>
      <c r="B8" s="238" t="inlineStr">
        <is>
          <t>Journal – Inventory</t>
        </is>
      </c>
      <c r="C8" s="307">
        <f>SUMIF(Journal!$C:$C,"Inventory",Journal!$D:$D)-SUMIF(Journal!$C:$C,"Inventory",Journal!$E:$E)</f>
        <v/>
      </c>
      <c r="D8" s="238" t="n"/>
    </row>
    <row r="9" ht="15" customHeight="1" s="231">
      <c r="A9" s="346" t="inlineStr">
        <is>
          <t>Prepaid Expenses</t>
        </is>
      </c>
      <c r="B9" s="246" t="inlineStr">
        <is>
          <t>Journal – Prepaid</t>
        </is>
      </c>
      <c r="C9" s="319">
        <f>SUMIF(Journal!$C:$C,"Prepaid Expenses",Journal!$D:$D)-SUMIF(Journal!$C:$C,"Prepaid Expenses",Journal!$E:$E)</f>
        <v/>
      </c>
      <c r="D9" s="246" t="n"/>
    </row>
    <row r="10" ht="15" customHeight="1" s="231">
      <c r="A10" s="310" t="inlineStr">
        <is>
          <t>Total Current Assets</t>
        </is>
      </c>
      <c r="B10" s="310" t="n"/>
      <c r="C10" s="311">
        <f>SUM(C6:C9)</f>
        <v/>
      </c>
      <c r="D10" s="310" t="n"/>
    </row>
    <row r="11" ht="15" customHeight="1" s="231">
      <c r="A11" s="344" t="inlineStr">
        <is>
          <t>Non-Current Assets</t>
        </is>
      </c>
      <c r="B11" s="233" t="n"/>
      <c r="C11" s="233" t="n"/>
      <c r="D11" s="233" t="n"/>
    </row>
    <row r="12" ht="15" customHeight="1" s="231">
      <c r="A12" s="345" t="inlineStr">
        <is>
          <t>Property, Plant &amp; Equipment (Cost)</t>
        </is>
      </c>
      <c r="B12" s="238" t="inlineStr">
        <is>
          <t>Journal – PP&amp;E</t>
        </is>
      </c>
      <c r="C12" s="307">
        <f>SUMIF(Journal!$C:$C,"Property, Plant &amp; Equipment",Journal!$D:$D)-SUMIF(Journal!$C:$C,"Property, Plant &amp; Equipment",Journal!$E:$E)</f>
        <v/>
      </c>
      <c r="D12" s="238" t="n"/>
    </row>
    <row r="13" ht="15" customHeight="1" s="231">
      <c r="A13" s="346" t="inlineStr">
        <is>
          <t>Accumulated Depreciation</t>
        </is>
      </c>
      <c r="B13" s="246" t="inlineStr">
        <is>
          <t>Journal – Acc. Dep.</t>
        </is>
      </c>
      <c r="C13" s="319">
        <f>SUMIF(Journal!$C:$C,"Accumulated Depreciation",Journal!$D:$D)-SUMIF(Journal!$C:$C,"Accumulated Depreciation",Journal!$E:$E)</f>
        <v/>
      </c>
      <c r="D13" s="246" t="n"/>
    </row>
    <row r="14" ht="15" customHeight="1" s="231">
      <c r="A14" s="310" t="inlineStr">
        <is>
          <t>Total Non-Current Assets</t>
        </is>
      </c>
      <c r="B14" s="310" t="n"/>
      <c r="C14" s="311">
        <f>SUM(C12:C13)</f>
        <v/>
      </c>
      <c r="D14" s="310" t="n"/>
    </row>
    <row r="15" ht="15" customHeight="1" s="231">
      <c r="A15" s="324" t="inlineStr">
        <is>
          <t>TOTAL ASSETS</t>
        </is>
      </c>
      <c r="B15" s="324" t="n"/>
      <c r="C15" s="325">
        <f>C10+C14</f>
        <v/>
      </c>
      <c r="D15" s="324" t="n"/>
    </row>
    <row r="17" ht="15" customHeight="1" s="231">
      <c r="A17" s="234" t="inlineStr">
        <is>
          <t>LIABILITIES</t>
        </is>
      </c>
      <c r="B17" s="233" t="n"/>
      <c r="C17" s="233" t="n"/>
      <c r="D17" s="233" t="n"/>
    </row>
    <row r="18" ht="15" customHeight="1" s="231">
      <c r="A18" s="344" t="inlineStr">
        <is>
          <t>Current Liabilities</t>
        </is>
      </c>
      <c r="B18" s="233" t="n"/>
      <c r="C18" s="233" t="n"/>
      <c r="D18" s="233" t="n"/>
    </row>
    <row r="19" ht="15" customHeight="1" s="231">
      <c r="A19" s="345" t="inlineStr">
        <is>
          <t>Accounts Payable</t>
        </is>
      </c>
      <c r="B19" s="238" t="inlineStr">
        <is>
          <t>Journal – AP</t>
        </is>
      </c>
      <c r="C19" s="307">
        <f>SUMIF(Journal!$C:$C,"Accounts Payable",Journal!$E:$E)-SUMIF(Journal!$C:$C,"Accounts Payable",Journal!$D:$D)</f>
        <v/>
      </c>
      <c r="D19" s="238" t="n"/>
    </row>
    <row r="20" ht="15" customHeight="1" s="231">
      <c r="A20" s="346" t="inlineStr">
        <is>
          <t>VAT Payable</t>
        </is>
      </c>
      <c r="B20" s="246" t="inlineStr">
        <is>
          <t>VAT Ledger – Net Payable</t>
        </is>
      </c>
      <c r="C20" s="319">
        <f>'VAT Ledger'!F64</f>
        <v/>
      </c>
      <c r="D20" s="246" t="n"/>
    </row>
    <row r="21" ht="15" customHeight="1" s="231">
      <c r="A21" s="345" t="inlineStr">
        <is>
          <t>Income Tax Payable</t>
        </is>
      </c>
      <c r="B21" s="238" t="inlineStr">
        <is>
          <t>Tax Engine – Step 5</t>
        </is>
      </c>
      <c r="C21" s="323">
        <f>'Tax Engine'!C30</f>
        <v/>
      </c>
      <c r="D21" s="238" t="n"/>
    </row>
    <row r="22" ht="15" customHeight="1" s="231">
      <c r="A22" s="346" t="inlineStr">
        <is>
          <t>Accrued Liabilities</t>
        </is>
      </c>
      <c r="B22" s="246" t="inlineStr">
        <is>
          <t>Journal – Accruals</t>
        </is>
      </c>
      <c r="C22" s="319">
        <f>SUMIF(Journal!$C:$C,"Accrued Liabilities",Journal!$E:$E)-SUMIF(Journal!$C:$C,"Accrued Liabilities",Journal!$D:$D)</f>
        <v/>
      </c>
      <c r="D22" s="246" t="n"/>
    </row>
    <row r="23" ht="15" customHeight="1" s="231">
      <c r="A23" s="310" t="inlineStr">
        <is>
          <t>Total Current Liabilities</t>
        </is>
      </c>
      <c r="B23" s="310" t="n"/>
      <c r="C23" s="311">
        <f>SUM(C19:C22)</f>
        <v/>
      </c>
      <c r="D23" s="310" t="n"/>
    </row>
    <row r="24" ht="15" customHeight="1" s="231">
      <c r="A24" s="344" t="inlineStr">
        <is>
          <t>Non-Current Liabilities</t>
        </is>
      </c>
      <c r="B24" s="233" t="n"/>
      <c r="C24" s="233" t="n"/>
      <c r="D24" s="233" t="n"/>
    </row>
    <row r="25" ht="15" customHeight="1" s="231">
      <c r="A25" s="345" t="inlineStr">
        <is>
          <t>Loans Payable (Long-term)</t>
        </is>
      </c>
      <c r="B25" s="238" t="inlineStr">
        <is>
          <t>Journal – Loans</t>
        </is>
      </c>
      <c r="C25" s="307">
        <f>SUMIF(Journal!$C:$C,"Loans Payable",Journal!$E:$E)-SUMIF(Journal!$C:$C,"Loans Payable",Journal!$D:$D)</f>
        <v/>
      </c>
      <c r="D25" s="238" t="n"/>
    </row>
    <row r="26" ht="15" customHeight="1" s="231">
      <c r="A26" s="310" t="inlineStr">
        <is>
          <t>Total Non-Current Liabilities</t>
        </is>
      </c>
      <c r="B26" s="310" t="n"/>
      <c r="C26" s="311">
        <f>C25</f>
        <v/>
      </c>
      <c r="D26" s="310" t="n"/>
    </row>
    <row r="27" ht="15" customHeight="1" s="231">
      <c r="A27" s="324" t="inlineStr">
        <is>
          <t>TOTAL LIABILITIES</t>
        </is>
      </c>
      <c r="B27" s="324" t="n"/>
      <c r="C27" s="325">
        <f>C23+C26</f>
        <v/>
      </c>
      <c r="D27" s="324" t="n"/>
    </row>
    <row r="29" ht="15" customHeight="1" s="231">
      <c r="A29" s="234" t="inlineStr">
        <is>
          <t>EQUITY</t>
        </is>
      </c>
      <c r="B29" s="233" t="n"/>
      <c r="C29" s="233" t="n"/>
      <c r="D29" s="233" t="n"/>
    </row>
    <row r="30" ht="15" customHeight="1" s="231">
      <c r="A30" s="345" t="inlineStr">
        <is>
          <t>Share Capital</t>
        </is>
      </c>
      <c r="B30" s="238" t="inlineStr">
        <is>
          <t>Journal – Share Capital</t>
        </is>
      </c>
      <c r="C30" s="307">
        <f>SUMIF(Journal!$C:$C,"Share Capital",Journal!$E:$E)-SUMIF(Journal!$C:$C,"Share Capital",Journal!$D:$D)</f>
        <v/>
      </c>
      <c r="D30" s="238" t="n"/>
    </row>
    <row r="31" ht="15" customHeight="1" s="231">
      <c r="A31" s="346" t="inlineStr">
        <is>
          <t>Prior Year Retained Earnings</t>
        </is>
      </c>
      <c r="B31" s="246" t="inlineStr">
        <is>
          <t>Auto: Prior Year sheet</t>
        </is>
      </c>
      <c r="C31" s="319">
        <f>'Prior Year'!B16</f>
        <v/>
      </c>
      <c r="D31" s="246" t="n"/>
    </row>
    <row r="32" ht="15" customHeight="1" s="231">
      <c r="A32" s="239" t="inlineStr">
        <is>
          <t>Less: Dividends Declared</t>
        </is>
      </c>
      <c r="B32" s="230" t="inlineStr">
        <is>
          <t>Income Statement</t>
        </is>
      </c>
      <c r="C32" s="347">
        <f>-'Income Statement'!C30</f>
        <v/>
      </c>
    </row>
    <row r="33" ht="15" customHeight="1" s="231">
      <c r="A33" s="345" t="inlineStr">
        <is>
          <t>Current Year Net Profit (After Tax)</t>
        </is>
      </c>
      <c r="B33" s="238" t="inlineStr">
        <is>
          <t>Income Statement</t>
        </is>
      </c>
      <c r="C33" s="323">
        <f>'Income Statement'!C31</f>
        <v/>
      </c>
      <c r="D33" s="238" t="n"/>
    </row>
    <row r="34" ht="15" customHeight="1" s="231">
      <c r="A34" s="324" t="inlineStr">
        <is>
          <t>TOTAL EQUITY</t>
        </is>
      </c>
      <c r="B34" s="324" t="n"/>
      <c r="C34" s="325">
        <f>SUM(C30:C33)</f>
        <v/>
      </c>
      <c r="D34" s="324" t="n"/>
    </row>
    <row r="35" ht="15" customHeight="1" s="231">
      <c r="A35" s="330" t="inlineStr">
        <is>
          <t>TOTAL LIABILITIES + EQUITY</t>
        </is>
      </c>
      <c r="B35" s="330" t="n"/>
      <c r="C35" s="331">
        <f>C27+C34</f>
        <v/>
      </c>
      <c r="D35" s="330" t="n"/>
    </row>
  </sheetData>
  <sheetProtection selectLockedCells="0" selectUnlockedCells="0" sheet="1" objects="0" insertRows="1" insertHyperlinks="1" autoFilter="1" scenarios="0" formatColumns="1" deleteColumns="1" insertColumns="1" pivotTables="1" deleteRows="1" formatCells="1" formatRows="1" sort="1"/>
  <mergeCells count="8">
    <mergeCell ref="A1:D1"/>
    <mergeCell ref="A17:D17"/>
    <mergeCell ref="A18:D18"/>
    <mergeCell ref="A5:D5"/>
    <mergeCell ref="A4:D4"/>
    <mergeCell ref="A29:D29"/>
    <mergeCell ref="A24:D24"/>
    <mergeCell ref="A11:D11"/>
  </mergeCells>
  <conditionalFormatting sqref="C2">
    <cfRule type="cellIs" rank="0" priority="2" equalAverage="0" operator="notEqual" aboveAverage="0" dxfId="2" text="" percent="0" bottom="0">
      <formula>0</formula>
    </cfRule>
    <cfRule type="cellIs" rank="0" priority="3" equalAverage="0" operator="equal" aboveAverage="0" dxfId="0" text="" percent="0" bottom="0">
      <formula>0</formula>
    </cfRule>
    <cfRule type="cellIs" rank="0" priority="4" equalAverage="0" operator="notEqual" aboveAverage="0" dxfId="1"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9.xml><?xml version="1.0" encoding="utf-8"?>
<worksheet xmlns="http://schemas.openxmlformats.org/spreadsheetml/2006/main">
  <sheetPr filterMode="0">
    <outlinePr summaryBelow="1" summaryRight="1"/>
    <pageSetUpPr fitToPage="0"/>
  </sheetPr>
  <dimension ref="A1:D4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230" min="1" max="1"/>
    <col width="32" customWidth="1" style="230" min="2" max="2"/>
    <col width="18" customWidth="1" style="230" min="3" max="3"/>
    <col width="22" customWidth="1" style="230" min="4" max="4"/>
  </cols>
  <sheetData>
    <row r="1" ht="30" customHeight="1" s="231">
      <c r="A1" s="304">
        <f>Settings!B8&amp;" | STATEMENT OF CASH FLOWS  |  For the Period Ended "&amp;Settings!B7</f>
        <v/>
      </c>
      <c r="B1" s="233" t="n"/>
      <c r="C1" s="233" t="n"/>
      <c r="D1" s="233" t="n"/>
    </row>
    <row r="2" ht="15" customHeight="1" s="231">
      <c r="A2" s="235" t="inlineStr">
        <is>
          <t>Description</t>
        </is>
      </c>
      <c r="B2" s="235" t="inlineStr">
        <is>
          <t>Notes</t>
        </is>
      </c>
      <c r="C2" s="235" t="inlineStr">
        <is>
          <t>NAD</t>
        </is>
      </c>
      <c r="D2" s="235" t="n"/>
    </row>
    <row r="3" ht="15" customHeight="1" s="231">
      <c r="A3" s="234" t="inlineStr">
        <is>
          <t>OPERATING ACTIVITIES</t>
        </is>
      </c>
      <c r="B3" s="233" t="n"/>
      <c r="C3" s="233" t="n"/>
      <c r="D3" s="233" t="n"/>
    </row>
    <row r="4" ht="15" customHeight="1" s="231">
      <c r="A4" s="238" t="inlineStr">
        <is>
          <t>Net Profit After Tax</t>
        </is>
      </c>
      <c r="B4" s="238" t="inlineStr">
        <is>
          <t>From Income Statement</t>
        </is>
      </c>
      <c r="C4" s="328">
        <f>'Income Statement'!C31</f>
        <v/>
      </c>
      <c r="D4" s="238" t="n"/>
    </row>
    <row r="5" ht="15" customHeight="1" s="231">
      <c r="A5" s="344" t="inlineStr">
        <is>
          <t>Adjustments for Non-Cash Items</t>
        </is>
      </c>
      <c r="B5" s="233" t="n"/>
      <c r="C5" s="233" t="n"/>
      <c r="D5" s="233" t="n"/>
    </row>
    <row r="6" ht="15" customHeight="1" s="231">
      <c r="A6" s="345" t="inlineStr">
        <is>
          <t>Add: Depreciation Expense</t>
        </is>
      </c>
      <c r="B6" s="238" t="inlineStr">
        <is>
          <t>Non-cash charge</t>
        </is>
      </c>
      <c r="C6" s="307">
        <f>'Income Statement'!C18</f>
        <v/>
      </c>
      <c r="D6" s="238" t="n"/>
    </row>
    <row r="7" ht="15" customHeight="1" s="231">
      <c r="A7" s="345" t="inlineStr">
        <is>
          <t>Add: Amortisation</t>
        </is>
      </c>
      <c r="B7" s="238" t="inlineStr">
        <is>
          <t>If applicable</t>
        </is>
      </c>
      <c r="C7" s="348" t="n">
        <v>0</v>
      </c>
      <c r="D7" s="238" t="n"/>
    </row>
    <row r="8" ht="15" customHeight="1" s="231">
      <c r="A8" s="344" t="inlineStr">
        <is>
          <t>Changes in Working Capital</t>
        </is>
      </c>
      <c r="B8" s="233" t="n"/>
      <c r="C8" s="233" t="n"/>
      <c r="D8" s="233" t="n"/>
    </row>
    <row r="9" ht="15" customHeight="1" s="231">
      <c r="A9" s="345" t="inlineStr">
        <is>
          <t>(Increase)/Decrease in Accounts Receivable</t>
        </is>
      </c>
      <c r="B9" s="238" t="inlineStr">
        <is>
          <t>AR movement</t>
        </is>
      </c>
      <c r="C9" s="307">
        <f>C43-'Balance Sheet'!C7</f>
        <v/>
      </c>
      <c r="D9" s="238" t="n"/>
    </row>
    <row r="10" ht="15" customHeight="1" s="231">
      <c r="A10" s="346" t="inlineStr">
        <is>
          <t>(Increase)/Decrease in Inventory</t>
        </is>
      </c>
      <c r="B10" s="246" t="inlineStr">
        <is>
          <t>Inventory</t>
        </is>
      </c>
      <c r="C10" s="319">
        <f>C44-'Balance Sheet'!C8</f>
        <v/>
      </c>
      <c r="D10" s="246" t="n"/>
    </row>
    <row r="11" ht="15" customHeight="1" s="231">
      <c r="A11" s="345" t="inlineStr">
        <is>
          <t>(Increase)/Decrease in Prepaid Expenses</t>
        </is>
      </c>
      <c r="B11" s="238" t="inlineStr">
        <is>
          <t>Prepaid</t>
        </is>
      </c>
      <c r="C11" s="307">
        <f>C45-'Balance Sheet'!C9</f>
        <v/>
      </c>
      <c r="D11" s="238" t="n"/>
    </row>
    <row r="12" ht="15" customHeight="1" s="231">
      <c r="A12" s="346" t="inlineStr">
        <is>
          <t>Increase/(Decrease) in Accounts Payable</t>
        </is>
      </c>
      <c r="B12" s="246" t="inlineStr">
        <is>
          <t>AP movement</t>
        </is>
      </c>
      <c r="C12" s="319">
        <f>'Balance Sheet'!C19-C46</f>
        <v/>
      </c>
      <c r="D12" s="246" t="n"/>
    </row>
    <row r="13" ht="15" customHeight="1" s="231">
      <c r="A13" s="345" t="inlineStr">
        <is>
          <t>Increase/(Decrease) in VAT Payable</t>
        </is>
      </c>
      <c r="B13" s="238" t="inlineStr">
        <is>
          <t>VAT</t>
        </is>
      </c>
      <c r="C13" s="307">
        <f>'Balance Sheet'!C20-C47</f>
        <v/>
      </c>
      <c r="D13" s="238" t="n"/>
    </row>
    <row r="14" ht="15" customHeight="1" s="231">
      <c r="A14" s="346" t="inlineStr">
        <is>
          <t>Increase/(Decrease) in Accrued Liabilities</t>
        </is>
      </c>
      <c r="B14" s="246" t="inlineStr">
        <is>
          <t>Accruals</t>
        </is>
      </c>
      <c r="C14" s="319">
        <f>'Balance Sheet'!C22-C48</f>
        <v/>
      </c>
      <c r="D14" s="246" t="n"/>
    </row>
    <row r="15" ht="15" customHeight="1" s="231">
      <c r="A15" s="239" t="inlineStr">
        <is>
          <t>Increase/(Decrease) in Income Tax Payable</t>
        </is>
      </c>
      <c r="B15" s="244" t="inlineStr">
        <is>
          <t>Auto: tax accrued, not yet paid</t>
        </is>
      </c>
      <c r="C15" s="349">
        <f>'Balance Sheet'!C21-'Prior Year'!B12</f>
        <v/>
      </c>
    </row>
    <row r="16" ht="15" customHeight="1" s="231">
      <c r="A16" s="315" t="inlineStr">
        <is>
          <t>NET CASH FROM OPERATING ACTIVITIES</t>
        </is>
      </c>
      <c r="B16" s="315" t="n"/>
      <c r="C16" s="316">
        <f>C4+SUM(C6:C7)+SUM(C9:C15)</f>
        <v/>
      </c>
      <c r="D16" s="315" t="n"/>
    </row>
    <row r="17" ht="15" customHeight="1" s="231">
      <c r="A17" s="230" t="n"/>
    </row>
    <row r="18" ht="15" customHeight="1" s="231">
      <c r="A18" s="234" t="inlineStr">
        <is>
          <t>INVESTING ACTIVITIES</t>
        </is>
      </c>
      <c r="B18" s="245" t="n"/>
      <c r="C18" s="245" t="n"/>
      <c r="D18" s="245" t="n"/>
    </row>
    <row r="19" ht="15" customHeight="1" s="231">
      <c r="A19" s="345" t="inlineStr">
        <is>
          <t>Purchase of PP&amp;E</t>
        </is>
      </c>
      <c r="B19" s="238" t="inlineStr">
        <is>
          <t>Auto: Journal – net PP&amp;E additions</t>
        </is>
      </c>
      <c r="C19" s="307">
        <f>-(SUMIF(Journal!$C:$C,"Property, Plant &amp; Equipment",Journal!$D:$D)-SUMIF(Journal!$C:$C,"Property, Plant &amp; Equipment",Journal!$E:$E))</f>
        <v/>
      </c>
      <c r="D19" s="238" t="n"/>
    </row>
    <row r="20" ht="15" customHeight="1" s="231">
      <c r="A20" s="346" t="inlineStr">
        <is>
          <t>Proceeds from Disposal of Assets</t>
        </is>
      </c>
      <c r="B20" s="246" t="inlineStr">
        <is>
          <t>If applicable</t>
        </is>
      </c>
      <c r="C20" s="350" t="n">
        <v>0</v>
      </c>
      <c r="D20" s="246" t="n"/>
    </row>
    <row r="21" ht="15" customHeight="1" s="231">
      <c r="A21" s="345" t="inlineStr">
        <is>
          <t>Purchase of Investments</t>
        </is>
      </c>
      <c r="B21" s="238" t="inlineStr">
        <is>
          <t>If applicable</t>
        </is>
      </c>
      <c r="C21" s="348" t="n">
        <v>0</v>
      </c>
      <c r="D21" s="238" t="n"/>
    </row>
    <row r="22" ht="15" customHeight="1" s="231">
      <c r="A22" s="322" t="inlineStr">
        <is>
          <t>NET CASH FROM INVESTING ACTIVITIES</t>
        </is>
      </c>
      <c r="B22" s="322" t="n"/>
      <c r="C22" s="316">
        <f>SUM(C19:C21)</f>
        <v/>
      </c>
      <c r="D22" s="322" t="n"/>
    </row>
    <row r="23" ht="15" customHeight="1" s="231">
      <c r="A23" s="230" t="n"/>
    </row>
    <row r="24" ht="15" customHeight="1" s="231">
      <c r="A24" s="234" t="inlineStr">
        <is>
          <t>FINANCING ACTIVITIES</t>
        </is>
      </c>
      <c r="B24" s="245" t="n"/>
      <c r="C24" s="245" t="n"/>
      <c r="D24" s="245" t="n"/>
    </row>
    <row r="25" ht="15" customHeight="1" s="231">
      <c r="A25" s="345" t="inlineStr">
        <is>
          <t>Proceeds from Share Capital Issuance</t>
        </is>
      </c>
      <c r="B25" s="238" t="inlineStr">
        <is>
          <t>Auto: Journal – credits to Share Capital</t>
        </is>
      </c>
      <c r="C25" s="307">
        <f>SUMIF(Journal!$C:$C,"Share Capital",Journal!$E:$E)</f>
        <v/>
      </c>
      <c r="D25" s="238" t="n"/>
    </row>
    <row r="26" ht="15" customHeight="1" s="231">
      <c r="A26" s="346" t="inlineStr">
        <is>
          <t>Repayment of Loans</t>
        </is>
      </c>
      <c r="B26" s="246" t="inlineStr">
        <is>
          <t>Auto: Journal – debits to Loans Payable (repayments)</t>
        </is>
      </c>
      <c r="C26" s="319">
        <f>-SUMIF(Journal!$C:$C,"Loans Payable",Journal!$D:$D)</f>
        <v/>
      </c>
      <c r="D26" s="246" t="n"/>
    </row>
    <row r="27" ht="15" customHeight="1" s="231">
      <c r="A27" s="345" t="inlineStr">
        <is>
          <t>Dividends Paid</t>
        </is>
      </c>
      <c r="B27" s="238" t="inlineStr">
        <is>
          <t>Auto: dividends declared (Income Statement)</t>
        </is>
      </c>
      <c r="C27" s="307">
        <f>-'Income Statement'!C30</f>
        <v/>
      </c>
      <c r="D27" s="238" t="n"/>
    </row>
    <row r="28" ht="15" customHeight="1" s="231">
      <c r="A28" s="346" t="inlineStr">
        <is>
          <t>Proceeds from New Borrowings</t>
        </is>
      </c>
      <c r="B28" s="246" t="inlineStr">
        <is>
          <t>Auto: Journal – credits to Loans Payable (new borrowings)</t>
        </is>
      </c>
      <c r="C28" s="319">
        <f>SUMIF(Journal!$C:$C,"Loans Payable",Journal!$E:$E)</f>
        <v/>
      </c>
      <c r="D28" s="246" t="n"/>
    </row>
    <row r="29" ht="15" customHeight="1" s="231">
      <c r="A29" s="322" t="inlineStr">
        <is>
          <t>NET CASH FROM FINANCING ACTIVITIES</t>
        </is>
      </c>
      <c r="B29" s="322" t="n"/>
      <c r="C29" s="316">
        <f>SUM(C25:C28)</f>
        <v/>
      </c>
      <c r="D29" s="322" t="n"/>
    </row>
    <row r="30" ht="15" customHeight="1" s="231">
      <c r="A30" s="230" t="n"/>
    </row>
    <row r="31" ht="15" customHeight="1" s="231">
      <c r="A31" s="234" t="inlineStr">
        <is>
          <t>CASH POSITION SUMMARY</t>
        </is>
      </c>
      <c r="B31" s="245" t="n"/>
      <c r="C31" s="245" t="n"/>
      <c r="D31" s="245" t="n"/>
    </row>
    <row r="32" ht="15" customHeight="1" s="231">
      <c r="A32" s="238" t="inlineStr">
        <is>
          <t>Opening Cash Balance</t>
        </is>
      </c>
      <c r="B32" s="238" t="inlineStr">
        <is>
          <t>Auto: Prior Year sheet – closing cash</t>
        </is>
      </c>
      <c r="C32" s="307">
        <f>'Prior Year'!B4</f>
        <v/>
      </c>
      <c r="D32" s="238" t="n"/>
    </row>
    <row r="33" ht="21.75" customHeight="1" s="231">
      <c r="A33" s="238" t="inlineStr">
        <is>
          <t>Net Increase / (Decrease) in Cash</t>
        </is>
      </c>
      <c r="B33" s="238" t="n"/>
      <c r="C33" s="337">
        <f>C16+C22+C29</f>
        <v/>
      </c>
      <c r="D33" s="238" t="n"/>
    </row>
    <row r="34" ht="15" customHeight="1" s="231">
      <c r="A34" s="330" t="inlineStr">
        <is>
          <t>CLOSING CASH BALANCE</t>
        </is>
      </c>
      <c r="B34" s="330" t="n"/>
      <c r="C34" s="331">
        <f>C32+C33</f>
        <v/>
      </c>
      <c r="D34" s="330" t="n"/>
    </row>
    <row r="35" ht="15" customHeight="1" s="231"/>
    <row r="36" ht="15" customHeight="1" s="231">
      <c r="A36" s="238" t="inlineStr">
        <is>
          <t>Cross-Check: Cash per Balance Sheet</t>
        </is>
      </c>
      <c r="B36" s="238" t="n"/>
      <c r="C36" s="328">
        <f>'Balance Sheet'!C6</f>
        <v/>
      </c>
      <c r="D36" s="323">
        <f>C34-C36</f>
        <v/>
      </c>
    </row>
    <row r="37" ht="15" customHeight="1" s="231"/>
    <row r="38" ht="15" customHeight="1" s="231">
      <c r="A38" s="351" t="inlineStr">
        <is>
          <t>Operating</t>
        </is>
      </c>
      <c r="B38" s="352">
        <f>C16</f>
        <v/>
      </c>
    </row>
    <row r="39" ht="15" customHeight="1" s="231">
      <c r="A39" s="351" t="inlineStr">
        <is>
          <t>Investing</t>
        </is>
      </c>
      <c r="B39" s="352">
        <f>C22</f>
        <v/>
      </c>
    </row>
    <row r="40" ht="15" customHeight="1" s="231">
      <c r="A40" s="351" t="inlineStr">
        <is>
          <t>Financing</t>
        </is>
      </c>
      <c r="B40" s="352">
        <f>C29</f>
        <v/>
      </c>
    </row>
    <row r="41" ht="15" customHeight="1" s="231"/>
    <row r="42" ht="15" customHeight="1" s="231">
      <c r="A42" s="353" t="inlineStr">
        <is>
          <t>OPENING BALANCES (enter prior period closing balances)</t>
        </is>
      </c>
    </row>
    <row r="43" ht="15" customHeight="1" s="231">
      <c r="A43" s="242" t="inlineStr">
        <is>
          <t>Accounts Receivable (opening)</t>
        </is>
      </c>
      <c r="B43" s="354" t="inlineStr">
        <is>
          <t>Auto: Prior Year sheet</t>
        </is>
      </c>
      <c r="C43" s="355">
        <f>'Prior Year'!B5</f>
        <v/>
      </c>
    </row>
    <row r="44" ht="15" customHeight="1" s="231">
      <c r="A44" s="242" t="inlineStr">
        <is>
          <t>Inventory (opening)</t>
        </is>
      </c>
      <c r="B44" s="354" t="inlineStr">
        <is>
          <t>Auto: Prior Year sheet</t>
        </is>
      </c>
      <c r="C44" s="355">
        <f>'Prior Year'!B6</f>
        <v/>
      </c>
    </row>
    <row r="45" ht="15" customHeight="1" s="231">
      <c r="A45" s="242" t="inlineStr">
        <is>
          <t>Prepaid Expenses (opening)</t>
        </is>
      </c>
      <c r="B45" s="354" t="inlineStr">
        <is>
          <t>Auto: Prior Year sheet</t>
        </is>
      </c>
      <c r="C45" s="355">
        <f>'Prior Year'!B7</f>
        <v/>
      </c>
    </row>
    <row r="46" ht="15" customHeight="1" s="231">
      <c r="A46" s="242" t="inlineStr">
        <is>
          <t>Accounts Payable (opening)</t>
        </is>
      </c>
      <c r="B46" s="354" t="inlineStr">
        <is>
          <t>Auto: Prior Year sheet</t>
        </is>
      </c>
      <c r="C46" s="355">
        <f>'Prior Year'!B10</f>
        <v/>
      </c>
    </row>
    <row r="47" ht="15" customHeight="1" s="231">
      <c r="A47" s="242" t="inlineStr">
        <is>
          <t>VAT Payable (opening)</t>
        </is>
      </c>
      <c r="B47" s="354" t="inlineStr">
        <is>
          <t>Auto: Prior Year sheet</t>
        </is>
      </c>
      <c r="C47" s="355">
        <f>'Prior Year'!B11</f>
        <v/>
      </c>
    </row>
    <row r="48" ht="15" customHeight="1" s="231">
      <c r="A48" s="242" t="inlineStr">
        <is>
          <t>Accrued Liabilities (opening)</t>
        </is>
      </c>
      <c r="B48" s="354" t="inlineStr">
        <is>
          <t>Auto: Prior Year sheet</t>
        </is>
      </c>
      <c r="C48" s="355">
        <f>'Prior Year'!B13</f>
        <v/>
      </c>
    </row>
  </sheetData>
  <sheetProtection selectLockedCells="0" selectUnlockedCells="0" sheet="1" objects="0" insertRows="1" insertHyperlinks="1" autoFilter="1" scenarios="0" formatColumns="0" deleteColumns="1" insertColumns="1" pivotTables="1" deleteRows="1" formatCells="1" formatRows="0" sort="1"/>
  <mergeCells count="7">
    <mergeCell ref="A1:D1"/>
    <mergeCell ref="A17:D17"/>
    <mergeCell ref="A5:D5"/>
    <mergeCell ref="A23:D23"/>
    <mergeCell ref="A8:D8"/>
    <mergeCell ref="A3:D3"/>
    <mergeCell ref="A30:D30"/>
  </mergeCells>
  <conditionalFormatting sqref="C33">
    <cfRule type="cellIs" rank="0" priority="2" equalAverage="0" operator="lessThan" aboveAverage="0" dxfId="2" text="" percent="0" bottom="0">
      <formula>0</formula>
    </cfRule>
    <cfRule type="cellIs" rank="0" priority="3" equalAverage="0" operator="between" aboveAverage="0" dxfId="4" text="" percent="0" bottom="0">
      <formula>0</formula>
      <formula>50000</formula>
    </cfRule>
    <cfRule type="cellIs" rank="0" priority="4" equalAverage="0" operator="greaterThan" aboveAverage="0" dxfId="3" text="" percent="0" bottom="0">
      <formula>50000</formula>
    </cfRule>
  </conditionalFormatting>
  <conditionalFormatting sqref="D35">
    <cfRule type="cellIs" rank="0" priority="5" equalAverage="0" operator="equal" aboveAverage="0" dxfId="0" text="" percent="0" bottom="0">
      <formula>0</formula>
    </cfRule>
    <cfRule type="cellIs" rank="0" priority="6" equalAverage="0" operator="notEqual" aboveAverage="0" dxfId="1" text="" percent="0" bottom="0">
      <formula>0</formula>
    </cfRule>
  </conditionalFormatting>
  <conditionalFormatting sqref="D36">
    <cfRule type="cellIs" rank="0" priority="7" equalAverage="0" operator="equal" aboveAverage="0" dxfId="0" text="" percent="0" bottom="0">
      <formula>0</formula>
    </cfRule>
    <cfRule type="cellIs" rank="0" priority="8" equalAverage="0" operator="notEqual" aboveAverage="0" dxfId="1"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10.xml><?xml version="1.0" encoding="utf-8"?>
<worksheet xmlns="http://schemas.openxmlformats.org/spreadsheetml/2006/main">
  <sheetPr filterMode="0">
    <tabColor rgb="FF2E4B8A"/>
    <outlinePr summaryBelow="1" summaryRight="1"/>
    <pageSetUpPr fitToPage="0"/>
  </sheetPr>
  <dimension ref="A1:D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230" min="1" max="1"/>
    <col width="46" customWidth="1" style="230" min="2" max="2"/>
    <col width="18" customWidth="1" style="230" min="3" max="3"/>
    <col width="40" customWidth="1" style="230" min="4" max="4"/>
  </cols>
  <sheetData>
    <row r="1" ht="21.75" customHeight="1" s="231">
      <c r="A1" s="290">
        <f>Settings!B8&amp;" | BANK RECONCILIATION  |  Reconciliação Bancária  |  "&amp;Settings!B7</f>
        <v/>
      </c>
    </row>
    <row r="2" ht="25.5" customHeight="1" s="231">
      <c r="A2" s="356" t="inlineStr">
        <is>
          <t>Yellow cells = manual input (from your bank statement).  Green = auto from Journal.  The reconciliation must end at a difference of 0.</t>
        </is>
      </c>
    </row>
    <row r="4" ht="15" customHeight="1" s="231">
      <c r="A4" s="274" t="inlineStr">
        <is>
          <t>A — BALANCE PER CASH BOOK  (automatic)</t>
        </is>
      </c>
    </row>
    <row r="5" ht="15" customHeight="1" s="231">
      <c r="A5" s="297" t="inlineStr">
        <is>
          <t>1</t>
        </is>
      </c>
      <c r="B5" s="357" t="inlineStr">
        <is>
          <t>Cash &amp; cash equivalents per General Journal</t>
        </is>
      </c>
      <c r="C5" s="358">
        <f>SUMIF(Journal!$C:$C,"Cash &amp; Cash Equivalents",Journal!$D:$D)-SUMIF(Journal!$C:$C,"Cash &amp; Cash Equivalents",Journal!$E:$E)</f>
        <v/>
      </c>
      <c r="D5" s="359" t="inlineStr">
        <is>
          <t>Auto: total debits − credits on the Cash account</t>
        </is>
      </c>
    </row>
    <row r="7" ht="15" customHeight="1" s="231">
      <c r="A7" s="360" t="inlineStr">
        <is>
          <t>B — ADJUSTMENTS TO CASH BOOK  (items on the bank statement not yet in your Journal)</t>
        </is>
      </c>
    </row>
    <row r="8" ht="15" customHeight="1" s="231">
      <c r="A8" s="297" t="n">
        <v>1</v>
      </c>
      <c r="B8" s="357" t="inlineStr">
        <is>
          <t>Add: Interest / credits received (not yet booked)</t>
        </is>
      </c>
      <c r="C8" s="361" t="n">
        <v>0</v>
      </c>
      <c r="D8" s="359" t="inlineStr">
        <is>
          <t>Enter as positive to add, negative to subtract</t>
        </is>
      </c>
    </row>
    <row r="9" ht="15" customHeight="1" s="231">
      <c r="A9" s="297" t="n">
        <v>2</v>
      </c>
      <c r="B9" s="357" t="inlineStr">
        <is>
          <t>Less: Bank charges / debit orders (not yet booked)</t>
        </is>
      </c>
      <c r="C9" s="361" t="n">
        <v>0</v>
      </c>
      <c r="D9" s="359" t="inlineStr">
        <is>
          <t>Enter as positive to add, negative to subtract</t>
        </is>
      </c>
    </row>
    <row r="10" ht="15" customHeight="1" s="231">
      <c r="A10" s="297" t="n">
        <v>3</v>
      </c>
      <c r="B10" s="357" t="inlineStr">
        <is>
          <t>Less: Dishonoured (bounced) cheques</t>
        </is>
      </c>
      <c r="C10" s="361" t="n">
        <v>0</v>
      </c>
      <c r="D10" s="359" t="inlineStr">
        <is>
          <t>Enter as positive to add, negative to subtract</t>
        </is>
      </c>
    </row>
    <row r="11" ht="15" customHeight="1" s="231">
      <c r="A11" s="297" t="n">
        <v>4</v>
      </c>
      <c r="B11" s="357" t="inlineStr">
        <is>
          <t>+/- Other corrections to the cash book</t>
        </is>
      </c>
      <c r="C11" s="361" t="n">
        <v>0</v>
      </c>
      <c r="D11" s="359" t="inlineStr">
        <is>
          <t>Enter as positive to add, negative to subtract</t>
        </is>
      </c>
    </row>
    <row r="12" ht="15" customHeight="1" s="231">
      <c r="A12" s="301" t="n"/>
      <c r="B12" s="302" t="inlineStr">
        <is>
          <t>ADJUSTED CASH BOOK BALANCE</t>
        </is>
      </c>
      <c r="C12" s="303">
        <f>C5+SUM(C8:C11)</f>
        <v/>
      </c>
      <c r="D12" s="301" t="n"/>
    </row>
    <row r="14" ht="15" customHeight="1" s="231">
      <c r="A14" s="274" t="inlineStr">
        <is>
          <t>C — BALANCE PER BANK STATEMENT  (from your bank)</t>
        </is>
      </c>
    </row>
    <row r="15" ht="15" customHeight="1" s="231">
      <c r="A15" s="297" t="inlineStr">
        <is>
          <t>1</t>
        </is>
      </c>
      <c r="B15" s="357" t="inlineStr">
        <is>
          <t>Closing balance per bank statement</t>
        </is>
      </c>
      <c r="C15" s="361" t="n">
        <v>0</v>
      </c>
      <c r="D15" s="359" t="inlineStr">
        <is>
          <t>Copy the closing balance from your bank statement</t>
        </is>
      </c>
    </row>
    <row r="17" ht="15" customHeight="1" s="231">
      <c r="A17" s="360" t="inlineStr">
        <is>
          <t>D — TIMING DIFFERENCES  (recorded in your books but not yet on the bank statement)</t>
        </is>
      </c>
    </row>
    <row r="18" ht="15" customHeight="1" s="231">
      <c r="A18" s="297" t="n">
        <v>1</v>
      </c>
      <c r="B18" s="357" t="inlineStr">
        <is>
          <t>Add: Deposits in transit (banked, not yet cleared)</t>
        </is>
      </c>
      <c r="C18" s="361" t="n">
        <v>0</v>
      </c>
      <c r="D18" s="359" t="inlineStr">
        <is>
          <t>Enter as positive to add, negative to subtract</t>
        </is>
      </c>
    </row>
    <row r="19" ht="15" customHeight="1" s="231">
      <c r="A19" s="297" t="n">
        <v>2</v>
      </c>
      <c r="B19" s="357" t="inlineStr">
        <is>
          <t>Less: Unpresented (outstanding) cheques</t>
        </is>
      </c>
      <c r="C19" s="361" t="n">
        <v>0</v>
      </c>
      <c r="D19" s="359" t="inlineStr">
        <is>
          <t>Enter as positive to add, negative to subtract</t>
        </is>
      </c>
    </row>
    <row r="20" ht="15" customHeight="1" s="231">
      <c r="A20" s="297" t="n">
        <v>3</v>
      </c>
      <c r="B20" s="357" t="inlineStr">
        <is>
          <t>+/- Bank errors to be corrected</t>
        </is>
      </c>
      <c r="C20" s="361" t="n">
        <v>0</v>
      </c>
      <c r="D20" s="359" t="inlineStr">
        <is>
          <t>Enter as positive to add, negative to subtract</t>
        </is>
      </c>
    </row>
    <row r="21" ht="15" customHeight="1" s="231">
      <c r="A21" s="301" t="n"/>
      <c r="B21" s="302" t="inlineStr">
        <is>
          <t>ADJUSTED BANK STATEMENT BALANCE</t>
        </is>
      </c>
      <c r="C21" s="303">
        <f>C15+SUM(C18:C20)</f>
        <v/>
      </c>
      <c r="D21" s="301" t="n"/>
    </row>
    <row r="23" ht="15" customHeight="1" s="231">
      <c r="A23" s="362" t="inlineStr">
        <is>
          <t>DIFFERENCE  (Adjusted Cash Book − Adjusted Bank)  must = 0</t>
        </is>
      </c>
      <c r="C23" s="293">
        <f>C12-C21</f>
        <v/>
      </c>
      <c r="D23" s="294" t="n"/>
    </row>
    <row r="24" ht="19.5" customHeight="1" s="231">
      <c r="A24" s="275">
        <f>IF(ROUND(C12-C21,2)=0,"RECONCILED  ✓  Cash book agrees with the bank","NOT RECONCILED  ✗  Investigate the difference above")</f>
        <v/>
      </c>
    </row>
  </sheetData>
  <mergeCells count="8">
    <mergeCell ref="A1:D1"/>
    <mergeCell ref="A17:D17"/>
    <mergeCell ref="A4:D4"/>
    <mergeCell ref="A7:D7"/>
    <mergeCell ref="A24:D24"/>
    <mergeCell ref="A2:D2"/>
    <mergeCell ref="A23:B23"/>
    <mergeCell ref="A14:D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L3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30" min="1" max="1"/>
    <col width="32" customWidth="1" style="230" min="2" max="2"/>
    <col width="24" customWidth="1" style="230" min="3" max="3"/>
    <col width="14" customWidth="1" style="230" min="4" max="4"/>
    <col width="16" customWidth="1" style="230" min="5" max="7"/>
    <col width="22" customWidth="1" style="230" min="8" max="10"/>
    <col width="14" customWidth="1" style="230" min="11" max="11"/>
    <col width="22" customWidth="1" style="230" min="12" max="12"/>
  </cols>
  <sheetData>
    <row r="1" ht="27.75" customHeight="1" s="231">
      <c r="A1" s="232" t="inlineStr">
        <is>
          <t>FIXED ASSET REGISTER &amp; DEPRECIATION SCHEDULE  |  NamRA Wear &amp; Tear Rates</t>
        </is>
      </c>
      <c r="B1" s="233" t="n"/>
      <c r="C1" s="233" t="n"/>
      <c r="D1" s="233" t="n"/>
      <c r="E1" s="233" t="n"/>
      <c r="F1" s="233" t="n"/>
      <c r="G1" s="233" t="n"/>
      <c r="H1" s="233" t="n"/>
      <c r="I1" s="233" t="n"/>
      <c r="J1" s="233" t="n"/>
      <c r="K1" s="233" t="n"/>
      <c r="L1" s="233" t="n"/>
    </row>
    <row r="2" ht="18" customHeight="1" s="231">
      <c r="A2" s="363" t="inlineStr">
        <is>
          <t>Blue = manual input   |   Black = formula   |   Depreciation Method: Straight-Line   |   Source: S17B &amp; S17C Income Tax Act</t>
        </is>
      </c>
      <c r="B2" s="233" t="n"/>
      <c r="C2" s="233" t="n"/>
      <c r="D2" s="233" t="n"/>
      <c r="E2" s="233" t="n"/>
      <c r="F2" s="233" t="n"/>
      <c r="G2" s="233" t="n"/>
      <c r="H2" s="233" t="n"/>
      <c r="I2" s="233" t="n"/>
      <c r="J2" s="233" t="n"/>
      <c r="K2" s="233" t="n"/>
      <c r="L2" s="233" t="n"/>
    </row>
    <row r="3" ht="21.75" customHeight="1" s="231">
      <c r="A3" s="364" t="inlineStr">
        <is>
          <t>Asset ID</t>
        </is>
      </c>
      <c r="B3" s="364" t="inlineStr">
        <is>
          <t>Asset Description</t>
        </is>
      </c>
      <c r="C3" s="364" t="inlineStr">
        <is>
          <t>Category</t>
        </is>
      </c>
      <c r="D3" s="364" t="inlineStr">
        <is>
          <t>Date Acquired</t>
        </is>
      </c>
      <c r="E3" s="364" t="inlineStr">
        <is>
          <t>Cost (NAD)</t>
        </is>
      </c>
      <c r="F3" s="364" t="inlineStr">
        <is>
          <t>Useful Life (yrs)</t>
        </is>
      </c>
      <c r="G3" s="364" t="inlineStr">
        <is>
          <t>NamRA Rate (%)</t>
        </is>
      </c>
      <c r="H3" s="364" t="inlineStr">
        <is>
          <t>Annual Depreciation (NAD)</t>
        </is>
      </c>
      <c r="I3" s="364" t="inlineStr">
        <is>
          <t>Acc. Dep. (NAD)</t>
        </is>
      </c>
      <c r="J3" s="364" t="inlineStr">
        <is>
          <t>Net Book Value (NAD)</t>
        </is>
      </c>
      <c r="K3" s="364" t="inlineStr">
        <is>
          <t>Disposal Date</t>
        </is>
      </c>
      <c r="L3" s="364" t="inlineStr">
        <is>
          <t>Notes</t>
        </is>
      </c>
    </row>
    <row r="4" ht="15" customHeight="1" s="231">
      <c r="A4" s="365" t="inlineStr">
        <is>
          <t>Enter each fixed asset below. Annual Depreciation and NBV are auto-calculated. NamRA Rates: Computers 33.33% | Motor Vehicles 20% | Plant &amp; Machinery 10% | Buildings 4%</t>
        </is>
      </c>
      <c r="B4" s="233" t="n"/>
      <c r="C4" s="233" t="n"/>
      <c r="D4" s="233" t="n"/>
      <c r="E4" s="233" t="n"/>
      <c r="F4" s="233" t="n"/>
      <c r="G4" s="233" t="n"/>
      <c r="H4" s="233" t="n"/>
      <c r="I4" s="233" t="n"/>
      <c r="J4" s="233" t="n"/>
      <c r="K4" s="233" t="n"/>
      <c r="L4" s="233" t="n"/>
    </row>
    <row r="5" ht="15" customHeight="1" s="231">
      <c r="A5" s="236" t="inlineStr">
        <is>
          <t>FA-001</t>
        </is>
      </c>
      <c r="B5" s="366" t="n"/>
      <c r="C5" s="366" t="n"/>
      <c r="D5" s="367" t="n"/>
      <c r="E5" s="334" t="n"/>
      <c r="F5" s="368" t="n"/>
      <c r="G5" s="237" t="n"/>
      <c r="H5" s="323">
        <f>IF(E5&gt;0, E5*G5, 0)</f>
        <v/>
      </c>
      <c r="I5" s="323">
        <f>IF(E5&gt;0, H5*1, 0)</f>
        <v/>
      </c>
      <c r="J5" s="323">
        <f>IF(E5&gt;0, E5-I5, 0)</f>
        <v/>
      </c>
      <c r="K5" s="369" t="n"/>
      <c r="L5" s="369" t="n"/>
    </row>
    <row r="6" ht="15" customHeight="1" s="231">
      <c r="A6" s="370" t="inlineStr">
        <is>
          <t>FA-002</t>
        </is>
      </c>
      <c r="B6" s="371" t="n"/>
      <c r="C6" s="371" t="n"/>
      <c r="D6" s="372" t="n"/>
      <c r="E6" s="373" t="n"/>
      <c r="F6" s="374" t="n"/>
      <c r="G6" s="375" t="n"/>
      <c r="H6" s="376">
        <f>IF(E6&gt;0, E6*G6, 0)</f>
        <v/>
      </c>
      <c r="I6" s="376">
        <f>IF(E6&gt;0, H6*1, 0)</f>
        <v/>
      </c>
      <c r="J6" s="376">
        <f>IF(E6&gt;0, E6-I6, 0)</f>
        <v/>
      </c>
      <c r="K6" s="377" t="n"/>
      <c r="L6" s="377" t="n"/>
    </row>
    <row r="7" ht="15" customHeight="1" s="231">
      <c r="A7" s="236" t="inlineStr">
        <is>
          <t>FA-003</t>
        </is>
      </c>
      <c r="B7" s="366" t="n"/>
      <c r="C7" s="366" t="n"/>
      <c r="D7" s="367" t="n"/>
      <c r="E7" s="334" t="n"/>
      <c r="F7" s="368" t="n"/>
      <c r="G7" s="237" t="n"/>
      <c r="H7" s="323">
        <f>IF(E7&gt;0, E7*G7, 0)</f>
        <v/>
      </c>
      <c r="I7" s="323">
        <f>IF(E7&gt;0, H7*1, 0)</f>
        <v/>
      </c>
      <c r="J7" s="323">
        <f>IF(E7&gt;0, E7-I7, 0)</f>
        <v/>
      </c>
      <c r="K7" s="369" t="n"/>
      <c r="L7" s="369" t="n"/>
    </row>
    <row r="8" ht="15" customHeight="1" s="231">
      <c r="A8" s="370" t="inlineStr">
        <is>
          <t>FA-004</t>
        </is>
      </c>
      <c r="B8" s="371" t="n"/>
      <c r="C8" s="371" t="n"/>
      <c r="D8" s="372" t="n"/>
      <c r="E8" s="373" t="n"/>
      <c r="F8" s="374" t="n"/>
      <c r="G8" s="375" t="n"/>
      <c r="H8" s="376">
        <f>IF(E8&gt;0, E8*G8, 0)</f>
        <v/>
      </c>
      <c r="I8" s="376">
        <f>IF(E8&gt;0, H8*1, 0)</f>
        <v/>
      </c>
      <c r="J8" s="376">
        <f>IF(E8&gt;0, E8-I8, 0)</f>
        <v/>
      </c>
      <c r="K8" s="377" t="n"/>
      <c r="L8" s="377" t="n"/>
    </row>
    <row r="9" ht="15" customHeight="1" s="231">
      <c r="A9" s="236" t="inlineStr">
        <is>
          <t>FA-005</t>
        </is>
      </c>
      <c r="B9" s="366" t="n"/>
      <c r="C9" s="366" t="n"/>
      <c r="D9" s="367" t="n"/>
      <c r="E9" s="334" t="n"/>
      <c r="F9" s="368" t="n"/>
      <c r="G9" s="237" t="n"/>
      <c r="H9" s="323">
        <f>IF(E9&gt;0, E9*G9, 0)</f>
        <v/>
      </c>
      <c r="I9" s="323">
        <f>IF(E9&gt;0, H9*1, 0)</f>
        <v/>
      </c>
      <c r="J9" s="323">
        <f>IF(E9&gt;0, E9-I9, 0)</f>
        <v/>
      </c>
      <c r="K9" s="369" t="n"/>
      <c r="L9" s="369" t="n"/>
    </row>
    <row r="10" ht="15" customHeight="1" s="231">
      <c r="A10" s="370" t="inlineStr">
        <is>
          <t>FA-006</t>
        </is>
      </c>
      <c r="B10" s="371" t="n"/>
      <c r="C10" s="371" t="n"/>
      <c r="D10" s="372" t="n"/>
      <c r="E10" s="373" t="n"/>
      <c r="F10" s="374" t="n"/>
      <c r="G10" s="375" t="n"/>
      <c r="H10" s="376">
        <f>IF(E10&gt;0, E10*G10, 0)</f>
        <v/>
      </c>
      <c r="I10" s="376">
        <f>IF(E10&gt;0, H10*1, 0)</f>
        <v/>
      </c>
      <c r="J10" s="376">
        <f>IF(E10&gt;0, E10-I10, 0)</f>
        <v/>
      </c>
      <c r="K10" s="377" t="n"/>
      <c r="L10" s="377" t="n"/>
    </row>
    <row r="11" ht="15" customHeight="1" s="231">
      <c r="A11" s="378" t="inlineStr">
        <is>
          <t>FA-007</t>
        </is>
      </c>
      <c r="E11" s="379" t="n"/>
      <c r="F11" s="380" t="n"/>
      <c r="G11" s="381" t="n"/>
      <c r="H11" s="382">
        <f>IF(E11&gt;0,E11*G11,0)</f>
        <v/>
      </c>
      <c r="I11" s="382">
        <f>IF(E11&gt;0,H11*1,0)</f>
        <v/>
      </c>
      <c r="J11" s="382">
        <f>IF(E11&gt;0,E11-I11,0)</f>
        <v/>
      </c>
      <c r="K11" s="380" t="n"/>
      <c r="L11" s="383" t="n"/>
    </row>
    <row r="12" ht="15" customHeight="1" s="231">
      <c r="A12" s="384" t="inlineStr">
        <is>
          <t>FA-008</t>
        </is>
      </c>
      <c r="B12" s="385" t="n"/>
      <c r="C12" s="385" t="n"/>
      <c r="D12" s="385" t="n"/>
      <c r="E12" s="386" t="n"/>
      <c r="F12" s="385" t="n"/>
      <c r="G12" s="387" t="n"/>
      <c r="H12" s="388">
        <f>IF(E12&gt;0,E12*G12,0)</f>
        <v/>
      </c>
      <c r="I12" s="388">
        <f>IF(E12&gt;0,H12*1,0)</f>
        <v/>
      </c>
      <c r="J12" s="388">
        <f>IF(E12&gt;0,E12-I12,0)</f>
        <v/>
      </c>
      <c r="K12" s="385" t="n"/>
      <c r="L12" s="389" t="n"/>
    </row>
    <row r="13" ht="19.5" customHeight="1" s="231">
      <c r="A13" s="378" t="inlineStr">
        <is>
          <t>FA-009</t>
        </is>
      </c>
      <c r="B13" s="390" t="n"/>
      <c r="C13" s="390" t="n"/>
      <c r="D13" s="390" t="n"/>
      <c r="E13" s="390" t="n"/>
      <c r="F13" s="390" t="n"/>
      <c r="G13" s="390" t="n"/>
      <c r="H13" s="391">
        <f>IF(E13&gt;0,E13*G13,0)</f>
        <v/>
      </c>
      <c r="I13" s="391">
        <f>IF(E13&gt;0,H13*1,0)</f>
        <v/>
      </c>
      <c r="J13" s="391">
        <f>IF(E13&gt;0,E13-I13,0)</f>
        <v/>
      </c>
      <c r="K13" s="390" t="n"/>
      <c r="L13" s="390" t="n"/>
    </row>
    <row r="14" ht="15" customHeight="1" s="231">
      <c r="A14" s="384" t="inlineStr">
        <is>
          <t>FA-010</t>
        </is>
      </c>
      <c r="B14" s="385" t="n"/>
      <c r="C14" s="385" t="n"/>
      <c r="D14" s="385" t="n"/>
      <c r="E14" s="386" t="n"/>
      <c r="F14" s="385" t="n"/>
      <c r="G14" s="387" t="n"/>
      <c r="H14" s="388">
        <f>IF(E14&gt;0,E14*G14,0)</f>
        <v/>
      </c>
      <c r="I14" s="388">
        <f>IF(E14&gt;0,H14*1,0)</f>
        <v/>
      </c>
      <c r="J14" s="388">
        <f>IF(E14&gt;0,E14-I14,0)</f>
        <v/>
      </c>
      <c r="K14" s="385" t="n"/>
      <c r="L14" s="389" t="n"/>
    </row>
    <row r="15" ht="15" customHeight="1" s="231">
      <c r="A15" s="378" t="inlineStr">
        <is>
          <t>FA-011</t>
        </is>
      </c>
      <c r="B15" s="380" t="n"/>
      <c r="C15" s="380" t="n"/>
      <c r="D15" s="380" t="n"/>
      <c r="E15" s="379" t="n"/>
      <c r="F15" s="380" t="n"/>
      <c r="G15" s="381" t="n"/>
      <c r="H15" s="382">
        <f>IF(E15&gt;0,E15*G15,0)</f>
        <v/>
      </c>
      <c r="I15" s="382">
        <f>IF(E15&gt;0,H15*1,0)</f>
        <v/>
      </c>
      <c r="J15" s="382">
        <f>IF(E15&gt;0,E15-I15,0)</f>
        <v/>
      </c>
      <c r="K15" s="380" t="n"/>
      <c r="L15" s="383" t="n"/>
    </row>
    <row r="16" ht="15" customHeight="1" s="231">
      <c r="A16" s="384" t="inlineStr">
        <is>
          <t>FA-012</t>
        </is>
      </c>
      <c r="B16" s="385" t="n"/>
      <c r="C16" s="385" t="n"/>
      <c r="D16" s="385" t="n"/>
      <c r="E16" s="386" t="n"/>
      <c r="F16" s="385" t="n"/>
      <c r="G16" s="387" t="n"/>
      <c r="H16" s="388">
        <f>IF(E16&gt;0,E16*G16,0)</f>
        <v/>
      </c>
      <c r="I16" s="388">
        <f>IF(E16&gt;0,H16*1,0)</f>
        <v/>
      </c>
      <c r="J16" s="388">
        <f>IF(E16&gt;0,E16-I16,0)</f>
        <v/>
      </c>
      <c r="K16" s="385" t="n"/>
      <c r="L16" s="389" t="n"/>
    </row>
    <row r="17" ht="15" customHeight="1" s="231">
      <c r="A17" s="378" t="inlineStr">
        <is>
          <t>FA-013</t>
        </is>
      </c>
      <c r="B17" s="380" t="n"/>
      <c r="C17" s="380" t="n"/>
      <c r="D17" s="380" t="n"/>
      <c r="E17" s="379" t="n"/>
      <c r="F17" s="380" t="n"/>
      <c r="G17" s="381" t="n"/>
      <c r="H17" s="382">
        <f>IF(E17&gt;0,E17*G17,0)</f>
        <v/>
      </c>
      <c r="I17" s="382">
        <f>IF(E17&gt;0,H17*1,0)</f>
        <v/>
      </c>
      <c r="J17" s="382">
        <f>IF(E17&gt;0,E17-I17,0)</f>
        <v/>
      </c>
      <c r="K17" s="380" t="n"/>
      <c r="L17" s="383" t="n"/>
    </row>
    <row r="18" ht="15" customHeight="1" s="231">
      <c r="A18" s="384" t="inlineStr">
        <is>
          <t>FA-014</t>
        </is>
      </c>
      <c r="B18" s="385" t="n"/>
      <c r="C18" s="385" t="n"/>
      <c r="D18" s="385" t="n"/>
      <c r="E18" s="386" t="n"/>
      <c r="F18" s="385" t="n"/>
      <c r="G18" s="387" t="n"/>
      <c r="H18" s="388">
        <f>IF(E18&gt;0,E18*G18,0)</f>
        <v/>
      </c>
      <c r="I18" s="388">
        <f>IF(E18&gt;0,H18*1,0)</f>
        <v/>
      </c>
      <c r="J18" s="388">
        <f>IF(E18&gt;0,E18-I18,0)</f>
        <v/>
      </c>
      <c r="K18" s="385" t="n"/>
      <c r="L18" s="389" t="n"/>
    </row>
    <row r="19" ht="15" customHeight="1" s="231">
      <c r="A19" s="378" t="inlineStr">
        <is>
          <t>FA-015</t>
        </is>
      </c>
      <c r="B19" s="380" t="n"/>
      <c r="C19" s="380" t="n"/>
      <c r="D19" s="380" t="n"/>
      <c r="E19" s="379" t="n"/>
      <c r="F19" s="380" t="n"/>
      <c r="G19" s="381" t="n"/>
      <c r="H19" s="382">
        <f>IF(E19&gt;0,E19*G19,0)</f>
        <v/>
      </c>
      <c r="I19" s="382">
        <f>IF(E19&gt;0,H19*1,0)</f>
        <v/>
      </c>
      <c r="J19" s="382">
        <f>IF(E19&gt;0,E19-I19,0)</f>
        <v/>
      </c>
      <c r="K19" s="380" t="n"/>
      <c r="L19" s="383" t="n"/>
    </row>
    <row r="20" ht="15" customHeight="1" s="231">
      <c r="A20" s="384" t="inlineStr">
        <is>
          <t>FA-016</t>
        </is>
      </c>
      <c r="B20" s="385" t="n"/>
      <c r="C20" s="385" t="n"/>
      <c r="D20" s="385" t="n"/>
      <c r="E20" s="386" t="n"/>
      <c r="F20" s="385" t="n"/>
      <c r="G20" s="387" t="n"/>
      <c r="H20" s="388">
        <f>IF(E20&gt;0,E20*G20,0)</f>
        <v/>
      </c>
      <c r="I20" s="388">
        <f>IF(E20&gt;0,H20*1,0)</f>
        <v/>
      </c>
      <c r="J20" s="388">
        <f>IF(E20&gt;0,E20-I20,0)</f>
        <v/>
      </c>
      <c r="K20" s="385" t="n"/>
      <c r="L20" s="389" t="n"/>
    </row>
    <row r="21" ht="15" customHeight="1" s="231">
      <c r="A21" s="378" t="inlineStr">
        <is>
          <t>FA-017</t>
        </is>
      </c>
      <c r="B21" s="380" t="n"/>
      <c r="C21" s="380" t="n"/>
      <c r="D21" s="380" t="n"/>
      <c r="E21" s="379" t="n"/>
      <c r="F21" s="380" t="n"/>
      <c r="G21" s="381" t="n"/>
      <c r="H21" s="382">
        <f>IF(E21&gt;0,E21*G21,0)</f>
        <v/>
      </c>
      <c r="I21" s="382">
        <f>IF(E21&gt;0,H21*1,0)</f>
        <v/>
      </c>
      <c r="J21" s="382">
        <f>IF(E21&gt;0,E21-I21,0)</f>
        <v/>
      </c>
      <c r="K21" s="380" t="n"/>
      <c r="L21" s="383" t="n"/>
    </row>
    <row r="22" ht="15" customHeight="1" s="231">
      <c r="A22" s="384" t="inlineStr">
        <is>
          <t>FA-018</t>
        </is>
      </c>
      <c r="B22" s="385" t="n"/>
      <c r="C22" s="385" t="n"/>
      <c r="D22" s="385" t="n"/>
      <c r="E22" s="386" t="n"/>
      <c r="F22" s="385" t="n"/>
      <c r="G22" s="387" t="n"/>
      <c r="H22" s="388">
        <f>IF(E22&gt;0,E22*G22,0)</f>
        <v/>
      </c>
      <c r="I22" s="388">
        <f>IF(E22&gt;0,H22*1,0)</f>
        <v/>
      </c>
      <c r="J22" s="388">
        <f>IF(E22&gt;0,E22-I22,0)</f>
        <v/>
      </c>
      <c r="K22" s="385" t="n"/>
      <c r="L22" s="389" t="n"/>
    </row>
    <row r="23" ht="15" customHeight="1" s="231">
      <c r="A23" s="378" t="inlineStr">
        <is>
          <t>FA-019</t>
        </is>
      </c>
      <c r="B23" s="380" t="n"/>
      <c r="C23" s="380" t="n"/>
      <c r="D23" s="380" t="n"/>
      <c r="E23" s="379" t="n"/>
      <c r="F23" s="380" t="n"/>
      <c r="G23" s="381" t="n"/>
      <c r="H23" s="382">
        <f>IF(E23&gt;0,E23*G23,0)</f>
        <v/>
      </c>
      <c r="I23" s="382">
        <f>IF(E23&gt;0,H23*1,0)</f>
        <v/>
      </c>
      <c r="J23" s="382">
        <f>IF(E23&gt;0,E23-I23,0)</f>
        <v/>
      </c>
      <c r="K23" s="380" t="n"/>
      <c r="L23" s="383" t="n"/>
    </row>
    <row r="24" ht="15" customHeight="1" s="231">
      <c r="A24" s="384" t="inlineStr">
        <is>
          <t>FA-020</t>
        </is>
      </c>
      <c r="B24" s="385" t="n"/>
      <c r="C24" s="385" t="n"/>
      <c r="D24" s="385" t="n"/>
      <c r="E24" s="386" t="n"/>
      <c r="F24" s="385" t="n"/>
      <c r="G24" s="387" t="n"/>
      <c r="H24" s="388">
        <f>IF(E24&gt;0,E24*G24,0)</f>
        <v/>
      </c>
      <c r="I24" s="388">
        <f>IF(E24&gt;0,H24*1,0)</f>
        <v/>
      </c>
      <c r="J24" s="388">
        <f>IF(E24&gt;0,E24-I24,0)</f>
        <v/>
      </c>
      <c r="K24" s="385" t="n"/>
      <c r="L24" s="389" t="n"/>
    </row>
    <row r="25" ht="15" customHeight="1" s="231">
      <c r="A25" s="378" t="inlineStr">
        <is>
          <t>FA-021</t>
        </is>
      </c>
      <c r="B25" s="380" t="n"/>
      <c r="C25" s="380" t="n"/>
      <c r="D25" s="380" t="n"/>
      <c r="E25" s="379" t="n"/>
      <c r="F25" s="380" t="n"/>
      <c r="G25" s="381" t="n"/>
      <c r="H25" s="382">
        <f>IF(E25&gt;0,E25*G25,0)</f>
        <v/>
      </c>
      <c r="I25" s="382">
        <f>IF(E25&gt;0,H25*1,0)</f>
        <v/>
      </c>
      <c r="J25" s="382">
        <f>IF(E25&gt;0,E25-I25,0)</f>
        <v/>
      </c>
      <c r="K25" s="380" t="n"/>
      <c r="L25" s="383" t="n"/>
    </row>
    <row r="26" ht="15" customHeight="1" s="231">
      <c r="A26" s="384" t="inlineStr">
        <is>
          <t>FA-022</t>
        </is>
      </c>
      <c r="B26" s="385" t="n"/>
      <c r="C26" s="385" t="n"/>
      <c r="D26" s="385" t="n"/>
      <c r="E26" s="386" t="n"/>
      <c r="F26" s="385" t="n"/>
      <c r="G26" s="387" t="n"/>
      <c r="H26" s="388">
        <f>IF(E26&gt;0,E26*G26,0)</f>
        <v/>
      </c>
      <c r="I26" s="388">
        <f>IF(E26&gt;0,H26*1,0)</f>
        <v/>
      </c>
      <c r="J26" s="388">
        <f>IF(E26&gt;0,E26-I26,0)</f>
        <v/>
      </c>
      <c r="K26" s="385" t="n"/>
      <c r="L26" s="389" t="n"/>
    </row>
    <row r="27" ht="15" customHeight="1" s="231">
      <c r="A27" s="378" t="inlineStr">
        <is>
          <t>FA-023</t>
        </is>
      </c>
      <c r="B27" s="380" t="n"/>
      <c r="C27" s="380" t="n"/>
      <c r="D27" s="380" t="n"/>
      <c r="E27" s="379" t="n"/>
      <c r="F27" s="380" t="n"/>
      <c r="G27" s="381" t="n"/>
      <c r="H27" s="382">
        <f>IF(E27&gt;0,E27*G27,0)</f>
        <v/>
      </c>
      <c r="I27" s="382">
        <f>IF(E27&gt;0,H27*1,0)</f>
        <v/>
      </c>
      <c r="J27" s="382">
        <f>IF(E27&gt;0,E27-I27,0)</f>
        <v/>
      </c>
      <c r="K27" s="380" t="n"/>
      <c r="L27" s="383" t="n"/>
    </row>
    <row r="28" ht="15" customHeight="1" s="231">
      <c r="A28" s="384" t="inlineStr">
        <is>
          <t>FA-024</t>
        </is>
      </c>
      <c r="B28" s="385" t="n"/>
      <c r="C28" s="385" t="n"/>
      <c r="D28" s="385" t="n"/>
      <c r="E28" s="386" t="n"/>
      <c r="F28" s="385" t="n"/>
      <c r="G28" s="387" t="n"/>
      <c r="H28" s="388">
        <f>IF(E28&gt;0,E28*G28,0)</f>
        <v/>
      </c>
      <c r="I28" s="388">
        <f>IF(E28&gt;0,H28*1,0)</f>
        <v/>
      </c>
      <c r="J28" s="388">
        <f>IF(E28&gt;0,E28-I28,0)</f>
        <v/>
      </c>
      <c r="K28" s="385" t="n"/>
      <c r="L28" s="389" t="n"/>
    </row>
    <row r="29" ht="15" customHeight="1" s="231">
      <c r="A29" s="378" t="inlineStr">
        <is>
          <t>FA-025</t>
        </is>
      </c>
      <c r="B29" s="380" t="n"/>
      <c r="C29" s="380" t="n"/>
      <c r="D29" s="380" t="n"/>
      <c r="E29" s="379" t="n"/>
      <c r="F29" s="380" t="n"/>
      <c r="G29" s="381" t="n"/>
      <c r="H29" s="382">
        <f>IF(E29&gt;0,E29*G29,0)</f>
        <v/>
      </c>
      <c r="I29" s="382">
        <f>IF(E29&gt;0,H29*1,0)</f>
        <v/>
      </c>
      <c r="J29" s="382">
        <f>IF(E29&gt;0,E29-I29,0)</f>
        <v/>
      </c>
      <c r="K29" s="380" t="n"/>
      <c r="L29" s="383" t="n"/>
    </row>
    <row r="30" ht="15" customHeight="1" s="231">
      <c r="A30" s="392" t="inlineStr">
        <is>
          <t>TOTALS</t>
        </is>
      </c>
      <c r="B30" s="245" t="n"/>
      <c r="C30" s="245" t="n"/>
      <c r="D30" s="339" t="n"/>
      <c r="E30" s="311">
        <f>SUM(E5:E29)</f>
        <v/>
      </c>
      <c r="F30" s="392" t="n"/>
      <c r="G30" s="392" t="n"/>
      <c r="H30" s="311">
        <f>SUM(H5:H29)</f>
        <v/>
      </c>
      <c r="I30" s="311">
        <f>SUM(I5:I29)</f>
        <v/>
      </c>
      <c r="J30" s="311">
        <f>SUM(J5:J29)</f>
        <v/>
      </c>
      <c r="K30" s="392" t="n"/>
      <c r="L30" s="392" t="n"/>
    </row>
    <row r="32" ht="15" customHeight="1" s="231">
      <c r="A32" s="393" t="inlineStr">
        <is>
          <t>DEPRECIATION SUMMARY  –  feeds into Tax Engine (Step 3)</t>
        </is>
      </c>
      <c r="B32" s="245" t="n"/>
      <c r="C32" s="245" t="n"/>
      <c r="D32" s="245" t="n"/>
      <c r="E32" s="245" t="n"/>
      <c r="F32" s="245" t="n"/>
      <c r="G32" s="245" t="n"/>
      <c r="H32" s="245" t="n"/>
      <c r="I32" s="245" t="n"/>
      <c r="J32" s="245" t="n"/>
      <c r="K32" s="245" t="n"/>
      <c r="L32" s="245" t="n"/>
    </row>
    <row r="33" ht="15" customHeight="1" s="231">
      <c r="A33" s="394" t="inlineStr">
        <is>
          <t>Computers &amp; Equipment (33.33%)</t>
        </is>
      </c>
      <c r="B33" s="323">
        <f>SUMIF(C5:C29,"Computers &amp; Equipment",H5:H29)</f>
        <v/>
      </c>
    </row>
    <row r="34" ht="15" customHeight="1" s="231">
      <c r="A34" s="395" t="inlineStr">
        <is>
          <t>Motor Vehicles (20%)</t>
        </is>
      </c>
      <c r="B34" s="376">
        <f>SUMIF(C5:C29,"Motor Vehicles",H5:H29)</f>
        <v/>
      </c>
    </row>
    <row r="35" ht="15" customHeight="1" s="231">
      <c r="A35" s="394" t="inlineStr">
        <is>
          <t>Plant &amp; Machinery (10%)</t>
        </is>
      </c>
      <c r="B35" s="323">
        <f>SUMIF(C5:C29,"Plant &amp; Machinery",H5:H29)</f>
        <v/>
      </c>
    </row>
    <row r="36" ht="15" customHeight="1" s="231">
      <c r="A36" s="395" t="inlineStr">
        <is>
          <t>Industrial Buildings (4%)</t>
        </is>
      </c>
      <c r="B36" s="376">
        <f>SUMIF(C5:C29,"Industrial Buildings",H5:H29)</f>
        <v/>
      </c>
    </row>
    <row r="37" ht="15" customHeight="1" s="231">
      <c r="A37" s="396" t="inlineStr">
        <is>
          <t>TOTAL ANNUAL DEPRECIATION (NAD)</t>
        </is>
      </c>
      <c r="B37" s="325">
        <f>SUM(B33:B36)</f>
        <v/>
      </c>
    </row>
  </sheetData>
  <sheetProtection selectLockedCells="0" selectUnlockedCells="0" sheet="1" objects="0" insertRows="1" insertHyperlinks="1" autoFilter="1" scenarios="0" formatColumns="0" deleteColumns="1" insertColumns="1" pivotTables="1" deleteRows="1" formatCells="1" formatRows="0" sort="1"/>
  <mergeCells count="4">
    <mergeCell ref="A2:L2"/>
    <mergeCell ref="A1:L1"/>
    <mergeCell ref="A4:L4"/>
    <mergeCell ref="A11:D11"/>
  </mergeCells>
  <dataValidations count="2">
    <dataValidation sqref="E5:E20" showDropDown="0" showInputMessage="0" showErrorMessage="1" allowBlank="0" errorTitle="Invalid Cost" error="Asset cost must be zero or positive." type="decimal" errorStyle="stop" operator="greaterThanOrEqual">
      <formula1>0</formula1>
      <formula2>0</formula2>
    </dataValidation>
    <dataValidation sqref="G5:G20" showDropDown="0" showInputMessage="0" showErrorMessage="1" allowBlank="0" errorTitle="Invalid Rate" error="NamRA rate must be between 0 and 1." type="decimal" errorStyle="stop"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12.xml><?xml version="1.0" encoding="utf-8"?>
<worksheet xmlns="http://schemas.openxmlformats.org/spreadsheetml/2006/main">
  <sheetPr filterMode="0">
    <outlinePr summaryBelow="1" summaryRight="1"/>
    <pageSetUpPr fitToPage="0"/>
  </sheetPr>
  <dimension ref="A1:G7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230" min="1" max="1"/>
    <col width="42" customWidth="1" style="230" min="2" max="2"/>
    <col width="14" customWidth="1" style="230" min="3" max="3"/>
    <col width="20" customWidth="1" style="230" min="4" max="4"/>
    <col width="12" customWidth="1" style="230" min="5" max="5"/>
    <col width="20" customWidth="1" style="230" min="6" max="7"/>
  </cols>
  <sheetData>
    <row r="1" ht="27.75" customHeight="1" s="231">
      <c r="A1" s="232" t="inlineStr">
        <is>
          <t>VAT LEDGER  |  Reconciliação do IVA  |  NamRA – Standard Rate 15%</t>
        </is>
      </c>
      <c r="B1" s="233" t="n"/>
      <c r="C1" s="233" t="n"/>
      <c r="D1" s="233" t="n"/>
      <c r="E1" s="233" t="n"/>
      <c r="F1" s="233" t="n"/>
      <c r="G1" s="233" t="n"/>
    </row>
    <row r="2" ht="18" customHeight="1" s="231">
      <c r="A2" s="363" t="inlineStr">
        <is>
          <t>Output VAT = VAT charged on sales   |   Input VAT = VAT paid on purchases   |   Net VAT Payable = Output – Input</t>
        </is>
      </c>
      <c r="B2" s="233" t="n"/>
      <c r="C2" s="233" t="n"/>
      <c r="D2" s="233" t="n"/>
      <c r="E2" s="233" t="n"/>
      <c r="F2" s="233" t="n"/>
      <c r="G2" s="233" t="n"/>
    </row>
    <row r="3" ht="15" customHeight="1" s="231">
      <c r="A3" s="234" t="inlineStr">
        <is>
          <t>SECTION A – OUTPUT VAT (VAT Charged on Sales / Revenue)</t>
        </is>
      </c>
      <c r="B3" s="233" t="n"/>
      <c r="C3" s="233" t="n"/>
      <c r="D3" s="233" t="n"/>
      <c r="E3" s="233" t="n"/>
      <c r="F3" s="233" t="n"/>
      <c r="G3" s="233" t="n"/>
    </row>
    <row r="4" ht="19.5" customHeight="1" s="231">
      <c r="A4" s="364" t="inlineStr">
        <is>
          <t>#</t>
        </is>
      </c>
      <c r="B4" s="364" t="inlineStr">
        <is>
          <t>Description</t>
        </is>
      </c>
      <c r="C4" s="364" t="inlineStr">
        <is>
          <t>Invoice Date</t>
        </is>
      </c>
      <c r="D4" s="364" t="inlineStr">
        <is>
          <t>Gross Amount (NAD)</t>
        </is>
      </c>
      <c r="E4" s="364" t="inlineStr">
        <is>
          <t>VAT Rate</t>
        </is>
      </c>
      <c r="F4" s="364" t="inlineStr">
        <is>
          <t>VAT Amount (NAD)</t>
        </is>
      </c>
      <c r="G4" s="364" t="inlineStr">
        <is>
          <t>Net (Excl. VAT)</t>
        </is>
      </c>
    </row>
    <row r="5" ht="15" customHeight="1" s="231">
      <c r="A5" s="397" t="n">
        <v>1</v>
      </c>
      <c r="B5" s="366" t="n"/>
      <c r="C5" s="398" t="n"/>
      <c r="D5" s="334" t="n"/>
      <c r="E5" s="399">
        <f>Settings!$B$5</f>
        <v/>
      </c>
      <c r="F5" s="323">
        <f>IF(D5&gt;0,D5*E5/(1+E5),0)</f>
        <v/>
      </c>
      <c r="G5" s="323">
        <f>IF(D5&gt;0,D5-F5,0)</f>
        <v/>
      </c>
    </row>
    <row r="6" ht="15" customHeight="1" s="231">
      <c r="A6" s="400" t="n">
        <v>2</v>
      </c>
      <c r="B6" s="371" t="n"/>
      <c r="C6" s="401" t="n"/>
      <c r="D6" s="373" t="n"/>
      <c r="E6" s="402">
        <f>Settings!$B$5</f>
        <v/>
      </c>
      <c r="F6" s="376">
        <f>IF(D6&gt;0,D6*E6/(1+E6),0)</f>
        <v/>
      </c>
      <c r="G6" s="376">
        <f>IF(D6&gt;0,D6-F6,0)</f>
        <v/>
      </c>
    </row>
    <row r="7" ht="15" customHeight="1" s="231">
      <c r="A7" s="397" t="n">
        <v>3</v>
      </c>
      <c r="B7" s="366" t="n"/>
      <c r="C7" s="398" t="n"/>
      <c r="D7" s="334" t="n"/>
      <c r="E7" s="399">
        <f>Settings!$B$5</f>
        <v/>
      </c>
      <c r="F7" s="323">
        <f>IF(D7&gt;0,D7*E7/(1+E7),0)</f>
        <v/>
      </c>
      <c r="G7" s="323">
        <f>IF(D7&gt;0,D7-F7,0)</f>
        <v/>
      </c>
    </row>
    <row r="8" ht="15" customHeight="1" s="231">
      <c r="A8" s="400" t="n">
        <v>4</v>
      </c>
      <c r="B8" s="371" t="n"/>
      <c r="C8" s="401" t="n"/>
      <c r="D8" s="373" t="n"/>
      <c r="E8" s="402">
        <f>Settings!$B$5</f>
        <v/>
      </c>
      <c r="F8" s="376">
        <f>IF(D8&gt;0,D8*E8/(1+E8),0)</f>
        <v/>
      </c>
      <c r="G8" s="376">
        <f>IF(D8&gt;0,D8-F8,0)</f>
        <v/>
      </c>
    </row>
    <row r="9" ht="15" customHeight="1" s="231">
      <c r="A9" s="397" t="n">
        <v>5</v>
      </c>
      <c r="B9" s="366" t="n"/>
      <c r="C9" s="398" t="n"/>
      <c r="D9" s="334" t="n"/>
      <c r="E9" s="399">
        <f>Settings!$B$5</f>
        <v/>
      </c>
      <c r="F9" s="323">
        <f>IF(D9&gt;0,D9*E9/(1+E9),0)</f>
        <v/>
      </c>
      <c r="G9" s="323">
        <f>IF(D9&gt;0,D9-F9,0)</f>
        <v/>
      </c>
    </row>
    <row r="10" ht="15" customHeight="1" s="231">
      <c r="A10" s="239" t="n">
        <v>6</v>
      </c>
      <c r="B10" s="403" t="n"/>
      <c r="C10" s="403" t="n"/>
      <c r="D10" s="404" t="n"/>
      <c r="E10" s="405">
        <f>Settings!$B$5</f>
        <v/>
      </c>
      <c r="F10" s="391">
        <f>IF(D10&gt;0,D10*E10/(1+E10),0)</f>
        <v/>
      </c>
      <c r="G10" s="391">
        <f>IF(D10&gt;0,D10-F10,0)</f>
        <v/>
      </c>
    </row>
    <row r="11" ht="15" customHeight="1" s="231">
      <c r="A11" s="239" t="n">
        <v>7</v>
      </c>
      <c r="B11" s="403" t="n"/>
      <c r="C11" s="403" t="n"/>
      <c r="D11" s="404" t="n"/>
      <c r="E11" s="405">
        <f>Settings!$B$5</f>
        <v/>
      </c>
      <c r="F11" s="391">
        <f>IF(D11&gt;0,D11*E11/(1+E11),0)</f>
        <v/>
      </c>
      <c r="G11" s="391">
        <f>IF(D11&gt;0,D11-F11,0)</f>
        <v/>
      </c>
    </row>
    <row r="12" ht="15" customHeight="1" s="231">
      <c r="A12" s="239" t="n">
        <v>8</v>
      </c>
      <c r="B12" s="390" t="n"/>
      <c r="C12" s="390" t="n"/>
      <c r="D12" s="390" t="n"/>
      <c r="E12" s="405">
        <f>Settings!$B$5</f>
        <v/>
      </c>
      <c r="F12" s="239">
        <f>IF(D12&gt;0,D12*E12/(1+E12),0)</f>
        <v/>
      </c>
      <c r="G12" s="239">
        <f>IF(D12&gt;0,D12-F12,0)</f>
        <v/>
      </c>
    </row>
    <row r="13" ht="19.5" customHeight="1" s="231">
      <c r="A13" s="239" t="n">
        <v>9</v>
      </c>
      <c r="B13" s="403" t="n"/>
      <c r="C13" s="403" t="n"/>
      <c r="D13" s="404" t="n"/>
      <c r="E13" s="405">
        <f>Settings!$B$5</f>
        <v/>
      </c>
      <c r="F13" s="391">
        <f>IF(D13&gt;0,D13*E13/(1+E13),0)</f>
        <v/>
      </c>
      <c r="G13" s="391">
        <f>IF(D13&gt;0,D13-F13,0)</f>
        <v/>
      </c>
    </row>
    <row r="14" ht="15" customHeight="1" s="231">
      <c r="A14" s="239" t="n">
        <v>10</v>
      </c>
      <c r="B14" s="403" t="n"/>
      <c r="C14" s="403" t="n"/>
      <c r="D14" s="404" t="n"/>
      <c r="E14" s="405">
        <f>Settings!$B$5</f>
        <v/>
      </c>
      <c r="F14" s="391">
        <f>IF(D14&gt;0,D14*E14/(1+E14),0)</f>
        <v/>
      </c>
      <c r="G14" s="391">
        <f>IF(D14&gt;0,D14-F14,0)</f>
        <v/>
      </c>
    </row>
    <row r="15" ht="15" customHeight="1" s="231">
      <c r="A15" s="239" t="n">
        <v>11</v>
      </c>
      <c r="B15" s="403" t="n"/>
      <c r="C15" s="403" t="n"/>
      <c r="D15" s="404" t="n"/>
      <c r="E15" s="405">
        <f>Settings!$B$5</f>
        <v/>
      </c>
      <c r="F15" s="391">
        <f>IF(D15&gt;0,D15*E15/(1+E15),0)</f>
        <v/>
      </c>
      <c r="G15" s="391">
        <f>IF(D15&gt;0,D15-F15,0)</f>
        <v/>
      </c>
    </row>
    <row r="16" ht="15" customHeight="1" s="231">
      <c r="A16" s="239" t="n">
        <v>12</v>
      </c>
      <c r="B16" s="403" t="n"/>
      <c r="C16" s="403" t="n"/>
      <c r="D16" s="404" t="n"/>
      <c r="E16" s="405">
        <f>Settings!$B$5</f>
        <v/>
      </c>
      <c r="F16" s="391">
        <f>IF(D16&gt;0,D16*E16/(1+E16),0)</f>
        <v/>
      </c>
      <c r="G16" s="391">
        <f>IF(D16&gt;0,D16-F16,0)</f>
        <v/>
      </c>
    </row>
    <row r="17" ht="15" customHeight="1" s="231">
      <c r="A17" s="239" t="n">
        <v>13</v>
      </c>
      <c r="B17" s="403" t="n"/>
      <c r="C17" s="403" t="n"/>
      <c r="D17" s="404" t="n"/>
      <c r="E17" s="405">
        <f>Settings!$B$5</f>
        <v/>
      </c>
      <c r="F17" s="391">
        <f>IF(D17&gt;0,D17*E17/(1+E17),0)</f>
        <v/>
      </c>
      <c r="G17" s="391">
        <f>IF(D17&gt;0,D17-F17,0)</f>
        <v/>
      </c>
    </row>
    <row r="18" ht="15" customHeight="1" s="231">
      <c r="A18" s="239" t="n">
        <v>14</v>
      </c>
      <c r="B18" s="403" t="n"/>
      <c r="C18" s="403" t="n"/>
      <c r="D18" s="404" t="n"/>
      <c r="E18" s="405">
        <f>Settings!$B$5</f>
        <v/>
      </c>
      <c r="F18" s="391">
        <f>IF(D18&gt;0,D18*E18/(1+E18),0)</f>
        <v/>
      </c>
      <c r="G18" s="391">
        <f>IF(D18&gt;0,D18-F18,0)</f>
        <v/>
      </c>
    </row>
    <row r="19" ht="15" customHeight="1" s="231">
      <c r="A19" s="239" t="n">
        <v>15</v>
      </c>
      <c r="B19" s="403" t="n"/>
      <c r="C19" s="403" t="n"/>
      <c r="D19" s="404" t="n"/>
      <c r="E19" s="405">
        <f>Settings!$B$5</f>
        <v/>
      </c>
      <c r="F19" s="391">
        <f>IF(D19&gt;0,D19*E19/(1+E19),0)</f>
        <v/>
      </c>
      <c r="G19" s="391">
        <f>IF(D19&gt;0,D19-F19,0)</f>
        <v/>
      </c>
    </row>
    <row r="20" ht="15" customHeight="1" s="231">
      <c r="A20" s="239" t="n">
        <v>16</v>
      </c>
      <c r="B20" s="403" t="n"/>
      <c r="C20" s="403" t="n"/>
      <c r="D20" s="404" t="n"/>
      <c r="E20" s="405">
        <f>Settings!$B$5</f>
        <v/>
      </c>
      <c r="F20" s="391">
        <f>IF(D20&gt;0,D20*E20/(1+E20),0)</f>
        <v/>
      </c>
      <c r="G20" s="391">
        <f>IF(D20&gt;0,D20-F20,0)</f>
        <v/>
      </c>
    </row>
    <row r="21" ht="15" customHeight="1" s="231">
      <c r="A21" s="239" t="n">
        <v>17</v>
      </c>
      <c r="B21" s="403" t="n"/>
      <c r="C21" s="403" t="n"/>
      <c r="D21" s="404" t="n"/>
      <c r="E21" s="405">
        <f>Settings!$B$5</f>
        <v/>
      </c>
      <c r="F21" s="391">
        <f>IF(D21&gt;0,D21*E21/(1+E21),0)</f>
        <v/>
      </c>
      <c r="G21" s="391">
        <f>IF(D21&gt;0,D21-F21,0)</f>
        <v/>
      </c>
    </row>
    <row r="22" ht="15" customHeight="1" s="231">
      <c r="A22" s="239" t="n">
        <v>18</v>
      </c>
      <c r="B22" s="403" t="n"/>
      <c r="C22" s="403" t="n"/>
      <c r="D22" s="404" t="n"/>
      <c r="E22" s="405">
        <f>Settings!$B$5</f>
        <v/>
      </c>
      <c r="F22" s="391">
        <f>IF(D22&gt;0,D22*E22/(1+E22),0)</f>
        <v/>
      </c>
      <c r="G22" s="391">
        <f>IF(D22&gt;0,D22-F22,0)</f>
        <v/>
      </c>
    </row>
    <row r="23" ht="15" customHeight="1" s="231">
      <c r="A23" s="239" t="n">
        <v>19</v>
      </c>
      <c r="B23" s="403" t="n"/>
      <c r="C23" s="403" t="n"/>
      <c r="D23" s="404" t="n"/>
      <c r="E23" s="405">
        <f>Settings!$B$5</f>
        <v/>
      </c>
      <c r="F23" s="391">
        <f>IF(D23&gt;0,D23*E23/(1+E23),0)</f>
        <v/>
      </c>
      <c r="G23" s="391">
        <f>IF(D23&gt;0,D23-F23,0)</f>
        <v/>
      </c>
    </row>
    <row r="24" ht="15" customHeight="1" s="231">
      <c r="A24" s="239" t="n">
        <v>20</v>
      </c>
      <c r="B24" s="403" t="n"/>
      <c r="C24" s="403" t="n"/>
      <c r="D24" s="404" t="n"/>
      <c r="E24" s="405">
        <f>Settings!$B$5</f>
        <v/>
      </c>
      <c r="F24" s="391">
        <f>IF(D24&gt;0,D24*E24/(1+E24),0)</f>
        <v/>
      </c>
      <c r="G24" s="391">
        <f>IF(D24&gt;0,D24-F24,0)</f>
        <v/>
      </c>
    </row>
    <row r="25" ht="19.5" customHeight="1" s="231">
      <c r="A25" s="239" t="n">
        <v>21</v>
      </c>
      <c r="B25" s="390" t="n"/>
      <c r="C25" s="390" t="n"/>
      <c r="D25" s="390" t="n"/>
      <c r="E25" s="405">
        <f>Settings!$B$5</f>
        <v/>
      </c>
      <c r="F25" s="239">
        <f>IF(D25&gt;0,D25*E25/(1+E25),0)</f>
        <v/>
      </c>
      <c r="G25" s="239">
        <f>IF(D25&gt;0,D25-F25,0)</f>
        <v/>
      </c>
    </row>
    <row r="26" ht="15" customHeight="1" s="231">
      <c r="A26" s="239" t="n">
        <v>22</v>
      </c>
      <c r="B26" s="390" t="n"/>
      <c r="C26" s="390" t="n"/>
      <c r="D26" s="390" t="n"/>
      <c r="E26" s="405">
        <f>Settings!$B$5</f>
        <v/>
      </c>
      <c r="F26" s="391">
        <f>IF(D26&gt;0,D26*E26/(1+E26),0)</f>
        <v/>
      </c>
      <c r="G26" s="391">
        <f>IF(D26&gt;0,D26-F26,0)</f>
        <v/>
      </c>
    </row>
    <row r="27" ht="15" customHeight="1" s="231">
      <c r="A27" s="239" t="n">
        <v>23</v>
      </c>
      <c r="B27" s="390" t="n"/>
      <c r="C27" s="390" t="n"/>
      <c r="D27" s="390" t="n"/>
      <c r="E27" s="405">
        <f>Settings!$B$5</f>
        <v/>
      </c>
      <c r="F27" s="391">
        <f>IF(D27&gt;0,D27*E27/(1+E27),0)</f>
        <v/>
      </c>
      <c r="G27" s="391">
        <f>IF(D27&gt;0,D27-F27,0)</f>
        <v/>
      </c>
    </row>
    <row r="28" ht="15" customHeight="1" s="231">
      <c r="A28" s="239" t="n">
        <v>24</v>
      </c>
      <c r="B28" s="390" t="n"/>
      <c r="C28" s="390" t="n"/>
      <c r="D28" s="390" t="n"/>
      <c r="E28" s="405">
        <f>Settings!$B$5</f>
        <v/>
      </c>
      <c r="F28" s="391">
        <f>IF(D28&gt;0,D28*E28/(1+E28),0)</f>
        <v/>
      </c>
      <c r="G28" s="391">
        <f>IF(D28&gt;0,D28-F28,0)</f>
        <v/>
      </c>
    </row>
    <row r="29" ht="15" customHeight="1" s="231">
      <c r="A29" s="239" t="n">
        <v>25</v>
      </c>
      <c r="B29" s="390" t="n"/>
      <c r="C29" s="390" t="n"/>
      <c r="D29" s="390" t="n"/>
      <c r="E29" s="405">
        <f>Settings!$B$5</f>
        <v/>
      </c>
      <c r="F29" s="239">
        <f>IF(D29&gt;0,D29*E29/(1+E29),0)</f>
        <v/>
      </c>
      <c r="G29" s="239">
        <f>IF(D29&gt;0,D29-F29,0)</f>
        <v/>
      </c>
    </row>
    <row r="30" ht="15" customHeight="1" s="231">
      <c r="A30" s="406" t="n"/>
      <c r="B30" s="407" t="inlineStr">
        <is>
          <t>TOTAL OUTPUT VAT</t>
        </is>
      </c>
      <c r="C30" s="406" t="n"/>
      <c r="D30" s="311">
        <f>SUM(D5:D29)</f>
        <v/>
      </c>
      <c r="E30" s="406" t="n"/>
      <c r="F30" s="311">
        <f>SUM(F5:F29)</f>
        <v/>
      </c>
      <c r="G30" s="311">
        <f>SUM(G5:G29)</f>
        <v/>
      </c>
    </row>
    <row r="31" ht="15" customHeight="1" s="231"/>
    <row r="32" ht="15" customHeight="1" s="231">
      <c r="A32" s="234" t="inlineStr">
        <is>
          <t>SECTION B – INPUT VAT (VAT Paid on Purchases / Expenses)</t>
        </is>
      </c>
      <c r="B32" s="245" t="n"/>
      <c r="C32" s="245" t="n"/>
      <c r="D32" s="245" t="n"/>
      <c r="E32" s="245" t="n"/>
      <c r="F32" s="245" t="n"/>
      <c r="G32" s="245" t="n"/>
    </row>
    <row r="33" ht="15" customHeight="1" s="231">
      <c r="A33" s="364" t="inlineStr">
        <is>
          <t>#</t>
        </is>
      </c>
      <c r="B33" s="364" t="inlineStr">
        <is>
          <t>Description</t>
        </is>
      </c>
      <c r="C33" s="364" t="inlineStr">
        <is>
          <t>Invoice Date</t>
        </is>
      </c>
      <c r="D33" s="364" t="inlineStr">
        <is>
          <t>Gross Amount (NAD)</t>
        </is>
      </c>
      <c r="E33" s="364" t="inlineStr">
        <is>
          <t>VAT Rate</t>
        </is>
      </c>
      <c r="F33" s="364" t="inlineStr">
        <is>
          <t>VAT Amount (NAD)</t>
        </is>
      </c>
      <c r="G33" s="364" t="inlineStr">
        <is>
          <t>Net (Excl. VAT)</t>
        </is>
      </c>
    </row>
    <row r="34" ht="15" customHeight="1" s="231">
      <c r="A34" s="397" t="n">
        <v>1</v>
      </c>
      <c r="B34" s="366" t="n"/>
      <c r="C34" s="398" t="n"/>
      <c r="D34" s="334" t="n"/>
      <c r="E34" s="399">
        <f>Settings!$B$5</f>
        <v/>
      </c>
      <c r="F34" s="323">
        <f>IF(D34&gt;0,D34*E34/(1+E34),0)</f>
        <v/>
      </c>
      <c r="G34" s="323">
        <f>IF(D34&gt;0,D34-F34,0)</f>
        <v/>
      </c>
    </row>
    <row r="35" ht="15" customHeight="1" s="231">
      <c r="A35" s="400" t="n">
        <v>2</v>
      </c>
      <c r="B35" s="371" t="n"/>
      <c r="C35" s="401" t="n"/>
      <c r="D35" s="373" t="n"/>
      <c r="E35" s="402">
        <f>Settings!$B$5</f>
        <v/>
      </c>
      <c r="F35" s="376">
        <f>IF(D35&gt;0,D35*E35/(1+E35),0)</f>
        <v/>
      </c>
      <c r="G35" s="376">
        <f>IF(D35&gt;0,D35-F35,0)</f>
        <v/>
      </c>
    </row>
    <row r="36" ht="15" customHeight="1" s="231">
      <c r="A36" s="397" t="n">
        <v>3</v>
      </c>
      <c r="B36" s="366" t="n"/>
      <c r="C36" s="398" t="n"/>
      <c r="D36" s="334" t="n"/>
      <c r="E36" s="399">
        <f>Settings!$B$5</f>
        <v/>
      </c>
      <c r="F36" s="323">
        <f>IF(D36&gt;0,D36*E36/(1+E36),0)</f>
        <v/>
      </c>
      <c r="G36" s="323">
        <f>IF(D36&gt;0,D36-F36,0)</f>
        <v/>
      </c>
    </row>
    <row r="37" ht="15" customHeight="1" s="231">
      <c r="A37" s="400" t="n">
        <v>4</v>
      </c>
      <c r="B37" s="371" t="n"/>
      <c r="C37" s="401" t="n"/>
      <c r="D37" s="373" t="n"/>
      <c r="E37" s="402">
        <f>Settings!$B$5</f>
        <v/>
      </c>
      <c r="F37" s="376">
        <f>IF(D37&gt;0,D37*E37/(1+E37),0)</f>
        <v/>
      </c>
      <c r="G37" s="376">
        <f>IF(D37&gt;0,D37-F37,0)</f>
        <v/>
      </c>
    </row>
    <row r="38" ht="15" customHeight="1" s="231">
      <c r="A38" s="397" t="n">
        <v>5</v>
      </c>
      <c r="B38" s="366" t="n"/>
      <c r="C38" s="398" t="n"/>
      <c r="D38" s="334" t="n"/>
      <c r="E38" s="399">
        <f>Settings!$B$5</f>
        <v/>
      </c>
      <c r="F38" s="323">
        <f>IF(D38&gt;0,D38*E38/(1+E38),0)</f>
        <v/>
      </c>
      <c r="G38" s="323">
        <f>IF(D38&gt;0,D38-F38,0)</f>
        <v/>
      </c>
    </row>
    <row r="39" ht="15" customHeight="1" s="231">
      <c r="A39" s="400" t="n">
        <v>6</v>
      </c>
      <c r="B39" s="371" t="n"/>
      <c r="C39" s="401" t="n"/>
      <c r="D39" s="373" t="n"/>
      <c r="E39" s="402">
        <f>Settings!$B$5</f>
        <v/>
      </c>
      <c r="F39" s="376">
        <f>IF(D39&gt;0,D39*E39/(1+E39),0)</f>
        <v/>
      </c>
      <c r="G39" s="376">
        <f>IF(D39&gt;0,D39-F39,0)</f>
        <v/>
      </c>
    </row>
    <row r="40" ht="15" customHeight="1" s="231">
      <c r="A40" s="397" t="n">
        <v>7</v>
      </c>
      <c r="B40" s="366" t="n"/>
      <c r="C40" s="398" t="n"/>
      <c r="D40" s="334" t="n"/>
      <c r="E40" s="399">
        <f>Settings!$B$5</f>
        <v/>
      </c>
      <c r="F40" s="323">
        <f>IF(D40&gt;0,D40*E40/(1+E40),0)</f>
        <v/>
      </c>
      <c r="G40" s="323">
        <f>IF(D40&gt;0,D40-F40,0)</f>
        <v/>
      </c>
    </row>
    <row r="41" ht="15" customHeight="1" s="231">
      <c r="A41" s="400" t="n">
        <v>8</v>
      </c>
      <c r="B41" s="371" t="n"/>
      <c r="C41" s="401" t="n"/>
      <c r="D41" s="373" t="n"/>
      <c r="E41" s="402">
        <f>Settings!$B$5</f>
        <v/>
      </c>
      <c r="F41" s="376">
        <f>IF(D41&gt;0,D41*E41/(1+E41),0)</f>
        <v/>
      </c>
      <c r="G41" s="376">
        <f>IF(D41&gt;0,D41-F41,0)</f>
        <v/>
      </c>
    </row>
    <row r="42" ht="15" customHeight="1" s="231">
      <c r="A42" s="397" t="n">
        <v>9</v>
      </c>
      <c r="B42" s="366" t="n"/>
      <c r="C42" s="398" t="n"/>
      <c r="D42" s="334" t="n"/>
      <c r="E42" s="399">
        <f>Settings!$B$5</f>
        <v/>
      </c>
      <c r="F42" s="323">
        <f>IF(D42&gt;0,D42*E42/(1+E42),0)</f>
        <v/>
      </c>
      <c r="G42" s="323">
        <f>IF(D42&gt;0,D42-F42,0)</f>
        <v/>
      </c>
    </row>
    <row r="43" ht="15" customHeight="1" s="231">
      <c r="A43" s="239" t="n">
        <v>10</v>
      </c>
      <c r="B43" s="403" t="n"/>
      <c r="C43" s="403" t="n"/>
      <c r="D43" s="404" t="n"/>
      <c r="E43" s="405">
        <f>Settings!$B$5</f>
        <v/>
      </c>
      <c r="F43" s="391">
        <f>IF(D43&gt;0,D43*E43/(1+E43),0)</f>
        <v/>
      </c>
      <c r="G43" s="391">
        <f>IF(D43&gt;0,D43-F43,0)</f>
        <v/>
      </c>
    </row>
    <row r="44" ht="15" customHeight="1" s="231">
      <c r="A44" s="239" t="n">
        <v>11</v>
      </c>
      <c r="B44" s="403" t="n"/>
      <c r="C44" s="403" t="n"/>
      <c r="D44" s="404" t="n"/>
      <c r="E44" s="405">
        <f>Settings!$B$5</f>
        <v/>
      </c>
      <c r="F44" s="391">
        <f>IF(D44&gt;0,D44*E44/(1+E44),0)</f>
        <v/>
      </c>
      <c r="G44" s="391">
        <f>IF(D44&gt;0,D44-F44,0)</f>
        <v/>
      </c>
    </row>
    <row r="45" ht="15" customHeight="1" s="231">
      <c r="A45" s="239" t="n">
        <v>12</v>
      </c>
      <c r="B45" s="403" t="n"/>
      <c r="C45" s="403" t="n"/>
      <c r="D45" s="404" t="n"/>
      <c r="E45" s="405">
        <f>Settings!$B$5</f>
        <v/>
      </c>
      <c r="F45" s="391">
        <f>IF(D45&gt;0,D45*E45/(1+E45),0)</f>
        <v/>
      </c>
      <c r="G45" s="391">
        <f>IF(D45&gt;0,D45-F45,0)</f>
        <v/>
      </c>
    </row>
    <row r="46" ht="15" customHeight="1" s="231">
      <c r="A46" s="239" t="n">
        <v>13</v>
      </c>
      <c r="B46" s="403" t="n"/>
      <c r="C46" s="403" t="n"/>
      <c r="D46" s="404" t="n"/>
      <c r="E46" s="405">
        <f>Settings!$B$5</f>
        <v/>
      </c>
      <c r="F46" s="391">
        <f>IF(D46&gt;0,D46*E46/(1+E46),0)</f>
        <v/>
      </c>
      <c r="G46" s="391">
        <f>IF(D46&gt;0,D46-F46,0)</f>
        <v/>
      </c>
    </row>
    <row r="47" ht="15" customHeight="1" s="231">
      <c r="A47" s="239" t="n">
        <v>14</v>
      </c>
      <c r="B47" s="403" t="n"/>
      <c r="C47" s="403" t="n"/>
      <c r="D47" s="404" t="n"/>
      <c r="E47" s="405">
        <f>Settings!$B$5</f>
        <v/>
      </c>
      <c r="F47" s="391">
        <f>IF(D47&gt;0,D47*E47/(1+E47),0)</f>
        <v/>
      </c>
      <c r="G47" s="391">
        <f>IF(D47&gt;0,D47-F47,0)</f>
        <v/>
      </c>
    </row>
    <row r="48" ht="15" customHeight="1" s="231">
      <c r="A48" s="239" t="n">
        <v>15</v>
      </c>
      <c r="B48" s="403" t="n"/>
      <c r="C48" s="403" t="n"/>
      <c r="D48" s="404" t="n"/>
      <c r="E48" s="405">
        <f>Settings!$B$5</f>
        <v/>
      </c>
      <c r="F48" s="391">
        <f>IF(D48&gt;0,D48*E48/(1+E48),0)</f>
        <v/>
      </c>
      <c r="G48" s="391">
        <f>IF(D48&gt;0,D48-F48,0)</f>
        <v/>
      </c>
    </row>
    <row r="49" ht="15" customHeight="1" s="231">
      <c r="A49" s="239" t="n">
        <v>16</v>
      </c>
      <c r="B49" s="403" t="n"/>
      <c r="C49" s="403" t="n"/>
      <c r="D49" s="404" t="n"/>
      <c r="E49" s="405">
        <f>Settings!$B$5</f>
        <v/>
      </c>
      <c r="F49" s="391">
        <f>IF(D49&gt;0,D49*E49/(1+E49),0)</f>
        <v/>
      </c>
      <c r="G49" s="391">
        <f>IF(D49&gt;0,D49-F49,0)</f>
        <v/>
      </c>
    </row>
    <row r="50" ht="15" customHeight="1" s="231">
      <c r="A50" s="239" t="n">
        <v>17</v>
      </c>
      <c r="B50" s="403" t="n"/>
      <c r="C50" s="403" t="n"/>
      <c r="D50" s="404" t="n"/>
      <c r="E50" s="405">
        <f>Settings!$B$5</f>
        <v/>
      </c>
      <c r="F50" s="391">
        <f>IF(D50&gt;0,D50*E50/(1+E50),0)</f>
        <v/>
      </c>
      <c r="G50" s="391">
        <f>IF(D50&gt;0,D50-F50,0)</f>
        <v/>
      </c>
    </row>
    <row r="51" ht="15" customHeight="1" s="231">
      <c r="A51" s="239" t="n">
        <v>18</v>
      </c>
      <c r="B51" s="403" t="n"/>
      <c r="C51" s="403" t="n"/>
      <c r="D51" s="404" t="n"/>
      <c r="E51" s="405">
        <f>Settings!$B$5</f>
        <v/>
      </c>
      <c r="F51" s="391">
        <f>IF(D51&gt;0,D51*E51/(1+E51),0)</f>
        <v/>
      </c>
      <c r="G51" s="391">
        <f>IF(D51&gt;0,D51-F51,0)</f>
        <v/>
      </c>
    </row>
    <row r="52" ht="15" customHeight="1" s="231">
      <c r="A52" s="239" t="n">
        <v>19</v>
      </c>
      <c r="B52" s="403" t="n"/>
      <c r="C52" s="403" t="n"/>
      <c r="D52" s="404" t="n"/>
      <c r="E52" s="405">
        <f>Settings!$B$5</f>
        <v/>
      </c>
      <c r="F52" s="391">
        <f>IF(D52&gt;0,D52*E52/(1+E52),0)</f>
        <v/>
      </c>
      <c r="G52" s="391">
        <f>IF(D52&gt;0,D52-F52,0)</f>
        <v/>
      </c>
    </row>
    <row r="53" ht="15" customHeight="1" s="231">
      <c r="A53" s="239" t="n">
        <v>20</v>
      </c>
      <c r="B53" s="403" t="n"/>
      <c r="C53" s="403" t="n"/>
      <c r="D53" s="404" t="n"/>
      <c r="E53" s="405">
        <f>Settings!$B$5</f>
        <v/>
      </c>
      <c r="F53" s="391">
        <f>IF(D53&gt;0,D53*E53/(1+E53),0)</f>
        <v/>
      </c>
      <c r="G53" s="391">
        <f>IF(D53&gt;0,D53-F53,0)</f>
        <v/>
      </c>
    </row>
    <row r="54" ht="15" customHeight="1" s="231">
      <c r="A54" s="239" t="n">
        <v>21</v>
      </c>
      <c r="B54" s="403" t="n"/>
      <c r="C54" s="403" t="n"/>
      <c r="D54" s="404" t="n"/>
      <c r="E54" s="405">
        <f>Settings!$B$5</f>
        <v/>
      </c>
      <c r="F54" s="391">
        <f>IF(D54&gt;0,D54*E54/(1+E54),0)</f>
        <v/>
      </c>
      <c r="G54" s="391">
        <f>IF(D54&gt;0,D54-F54,0)</f>
        <v/>
      </c>
    </row>
    <row r="55" ht="15" customHeight="1" s="231">
      <c r="A55" s="239" t="n">
        <v>22</v>
      </c>
      <c r="B55" s="403" t="n"/>
      <c r="C55" s="403" t="n"/>
      <c r="D55" s="404" t="n"/>
      <c r="E55" s="405">
        <f>Settings!$B$5</f>
        <v/>
      </c>
      <c r="F55" s="391">
        <f>IF(D55&gt;0,D55*E55/(1+E55),0)</f>
        <v/>
      </c>
      <c r="G55" s="391">
        <f>IF(D55&gt;0,D55-F55,0)</f>
        <v/>
      </c>
    </row>
    <row r="56" ht="15" customHeight="1" s="231">
      <c r="A56" s="239" t="n">
        <v>23</v>
      </c>
      <c r="B56" s="403" t="n"/>
      <c r="C56" s="403" t="n"/>
      <c r="D56" s="404" t="n"/>
      <c r="E56" s="405">
        <f>Settings!$B$5</f>
        <v/>
      </c>
      <c r="F56" s="391">
        <f>IF(D56&gt;0,D56*E56/(1+E56),0)</f>
        <v/>
      </c>
      <c r="G56" s="391">
        <f>IF(D56&gt;0,D56-F56,0)</f>
        <v/>
      </c>
    </row>
    <row r="57" ht="15" customHeight="1" s="231">
      <c r="A57" s="239" t="n">
        <v>24</v>
      </c>
      <c r="B57" s="403" t="n"/>
      <c r="C57" s="403" t="n"/>
      <c r="D57" s="404" t="n"/>
      <c r="E57" s="405">
        <f>Settings!$B$5</f>
        <v/>
      </c>
      <c r="F57" s="391">
        <f>IF(D57&gt;0,D57*E57/(1+E57),0)</f>
        <v/>
      </c>
      <c r="G57" s="391">
        <f>IF(D57&gt;0,D57-F57,0)</f>
        <v/>
      </c>
    </row>
    <row r="58" ht="15" customHeight="1" s="231">
      <c r="A58" s="239" t="n">
        <v>25</v>
      </c>
      <c r="B58" s="403" t="n"/>
      <c r="C58" s="403" t="n"/>
      <c r="D58" s="404" t="n"/>
      <c r="E58" s="405">
        <f>Settings!$B$5</f>
        <v/>
      </c>
      <c r="F58" s="391">
        <f>IF(D58&gt;0,D58*E58/(1+E58),0)</f>
        <v/>
      </c>
      <c r="G58" s="391">
        <f>IF(D58&gt;0,D58-F58,0)</f>
        <v/>
      </c>
    </row>
    <row r="59" ht="15" customHeight="1" s="231">
      <c r="A59" s="406" t="n"/>
      <c r="B59" s="407" t="inlineStr">
        <is>
          <t>TOTAL INPUT VAT</t>
        </is>
      </c>
      <c r="C59" s="406" t="n"/>
      <c r="D59" s="311">
        <f>SUM(D34:D58)</f>
        <v/>
      </c>
      <c r="E59" s="406" t="n"/>
      <c r="F59" s="311">
        <f>SUM(F34:F58)</f>
        <v/>
      </c>
      <c r="G59" s="311">
        <f>SUM(G34:G58)</f>
        <v/>
      </c>
    </row>
    <row r="61" ht="15" customHeight="1" s="231">
      <c r="A61" s="393" t="inlineStr">
        <is>
          <t>SECTION C – NET VAT RECONCILIATION &amp; NamRA LIABILITY</t>
        </is>
      </c>
      <c r="B61" s="245" t="n"/>
      <c r="C61" s="245" t="n"/>
      <c r="D61" s="245" t="n"/>
      <c r="E61" s="245" t="n"/>
      <c r="F61" s="245" t="n"/>
      <c r="G61" s="245" t="n"/>
    </row>
    <row r="62" ht="15" customHeight="1" s="231">
      <c r="A62" s="408" t="inlineStr">
        <is>
          <t>Total Output VAT (VAT on Sales)</t>
        </is>
      </c>
      <c r="B62" s="245" t="n"/>
      <c r="C62" s="245" t="n"/>
      <c r="D62" s="245" t="n"/>
      <c r="E62" s="245" t="n"/>
      <c r="F62" s="323">
        <f>F30</f>
        <v/>
      </c>
      <c r="G62" s="409" t="n"/>
    </row>
    <row r="63" ht="15" customHeight="1" s="231">
      <c r="A63" s="410" t="inlineStr">
        <is>
          <t>Less: Total Input VAT (VAT on Purchases)</t>
        </is>
      </c>
      <c r="B63" s="245" t="n"/>
      <c r="C63" s="245" t="n"/>
      <c r="D63" s="245" t="n"/>
      <c r="E63" s="245" t="n"/>
      <c r="F63" s="376">
        <f>-F59</f>
        <v/>
      </c>
      <c r="G63" s="342" t="n"/>
    </row>
    <row r="64" ht="15" customHeight="1" s="231">
      <c r="A64" s="396" t="inlineStr">
        <is>
          <t>NET VAT PAYABLE TO NamRA</t>
        </is>
      </c>
      <c r="B64" s="245" t="n"/>
      <c r="C64" s="245" t="n"/>
      <c r="D64" s="245" t="n"/>
      <c r="E64" s="339" t="n"/>
      <c r="F64" s="325">
        <f>F62+F63</f>
        <v/>
      </c>
      <c r="G64" s="324" t="n"/>
    </row>
    <row r="65" ht="15" customHeight="1" s="231">
      <c r="A65" s="365" t="inlineStr">
        <is>
          <t>NamRA VAT Return Due: 25th of the month following the tax period  |  VAT Period: Monthly (if turnover &gt; NAD 500,000) or Bi-monthly</t>
        </is>
      </c>
      <c r="B65" s="245" t="n"/>
      <c r="C65" s="245" t="n"/>
      <c r="D65" s="245" t="n"/>
      <c r="E65" s="245" t="n"/>
      <c r="F65" s="245" t="n"/>
      <c r="G65" s="245" t="n"/>
    </row>
    <row r="67" ht="15" customHeight="1" s="231">
      <c r="A67" s="411" t="inlineStr">
        <is>
          <t>SECTION D – AUTO-SUMMARY FROM JOURNAL (cross-check)</t>
        </is>
      </c>
    </row>
    <row r="68" ht="15" customHeight="1" s="231">
      <c r="A68" s="230" t="inlineStr">
        <is>
          <t>Total VAT from Journal (all Y transactions)</t>
        </is>
      </c>
      <c r="F68" s="412">
        <f>SUMIF(Journal!F:F,"Y",Journal!G:G)</f>
        <v/>
      </c>
    </row>
    <row r="69" ht="15" customHeight="1" s="231">
      <c r="A69" s="230" t="inlineStr">
        <is>
          <t>Variance vs VAT Ledger (Output + Input)</t>
        </is>
      </c>
      <c r="F69" s="412">
        <f>F68-(F30+F59)</f>
        <v/>
      </c>
    </row>
    <row r="70" ht="15" customHeight="1" s="231">
      <c r="A70" s="244" t="inlineStr">
        <is>
          <t>Note: Journal VAT column (G) auto-calculates. Sections A &amp; B allow manual invoice-by-invoice entry.</t>
        </is>
      </c>
    </row>
  </sheetData>
  <sheetProtection selectLockedCells="0" selectUnlockedCells="0" sheet="1" objects="0" insertRows="1" insertHyperlinks="1" autoFilter="1" scenarios="0" formatColumns="0" deleteColumns="1" insertColumns="1" pivotTables="1" deleteRows="1" formatCells="1" formatRows="0" sort="1"/>
  <mergeCells count="3">
    <mergeCell ref="A3:G3"/>
    <mergeCell ref="A2:G2"/>
    <mergeCell ref="A1:G1"/>
  </mergeCells>
  <conditionalFormatting sqref="F28">
    <cfRule type="cellIs" rank="0" priority="2" equalAverage="0" operator="greaterThan" aboveAverage="0" dxfId="2" text="" percent="0" bottom="0">
      <formula>0</formula>
    </cfRule>
    <cfRule type="cellIs" rank="0" priority="3" equalAverage="0" operator="lessThan" aboveAverage="0" dxfId="3"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595959"/>
    <outlinePr summaryBelow="1" summaryRight="1"/>
    <pageSetUpPr fitToPage="0"/>
  </sheetPr>
  <dimension ref="A1:F8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 customWidth="1" style="230" min="1" max="1"/>
    <col width="18" customWidth="1" style="230" min="2" max="3"/>
    <col width="40" customWidth="1" style="230" min="4" max="4"/>
    <col width="10" customWidth="1" style="230" min="5" max="5"/>
    <col width="14" customWidth="1" style="230" min="6" max="6"/>
  </cols>
  <sheetData>
    <row r="1" ht="27.75" customHeight="1" s="231">
      <c r="A1" s="413" t="inlineStr">
        <is>
          <t>MODEL CONTROLS, AUDIT LOG &amp; DATA VALIDATION GUIDE</t>
        </is>
      </c>
      <c r="B1" s="233" t="n"/>
      <c r="C1" s="233" t="n"/>
      <c r="D1" s="233" t="n"/>
      <c r="E1" s="233" t="n"/>
      <c r="F1" s="233" t="n"/>
    </row>
    <row r="2" ht="18" customHeight="1" s="231">
      <c r="A2" s="363" t="inlineStr">
        <is>
          <t>This sheet documents all manual inputs, version history, and data validation rules applied in the model.</t>
        </is>
      </c>
      <c r="B2" s="233" t="n"/>
      <c r="C2" s="233" t="n"/>
      <c r="D2" s="233" t="n"/>
      <c r="E2" s="233" t="n"/>
      <c r="F2" s="233" t="n"/>
    </row>
    <row r="3" ht="15" customHeight="1" s="231">
      <c r="A3" s="414" t="inlineStr">
        <is>
          <t>MODEL VERSION &amp; METADATA</t>
        </is>
      </c>
      <c r="B3" s="233" t="n"/>
      <c r="C3" s="233" t="n"/>
      <c r="D3" s="233" t="n"/>
      <c r="E3" s="233" t="n"/>
      <c r="F3" s="233" t="n"/>
    </row>
    <row r="4" ht="15" customHeight="1" s="231">
      <c r="A4" s="415" t="inlineStr">
        <is>
          <t>Model Name</t>
        </is>
      </c>
      <c r="B4" s="236" t="inlineStr">
        <is>
          <t>Namibia Financial Model</t>
        </is>
      </c>
      <c r="C4" s="409" t="n"/>
      <c r="D4" s="409" t="n"/>
      <c r="E4" s="409" t="n"/>
      <c r="F4" s="409" t="n"/>
    </row>
    <row r="5" ht="15" customHeight="1" s="231">
      <c r="A5" s="416" t="inlineStr">
        <is>
          <t>Version</t>
        </is>
      </c>
      <c r="B5" s="370" t="inlineStr">
        <is>
          <t>v7.0</t>
        </is>
      </c>
      <c r="C5" s="342" t="n"/>
      <c r="D5" s="342" t="n"/>
      <c r="E5" s="342" t="n"/>
      <c r="F5" s="342" t="n"/>
    </row>
    <row r="6" ht="15" customHeight="1" s="231">
      <c r="A6" s="415" t="inlineStr">
        <is>
          <t>Prepared By</t>
        </is>
      </c>
      <c r="B6" s="236" t="inlineStr">
        <is>
          <t>← Enter name</t>
        </is>
      </c>
      <c r="C6" s="409" t="n"/>
      <c r="D6" s="409" t="n"/>
      <c r="E6" s="409" t="n"/>
      <c r="F6" s="409" t="n"/>
    </row>
    <row r="7" ht="15" customHeight="1" s="231">
      <c r="A7" s="416" t="inlineStr">
        <is>
          <t>Reviewed By</t>
        </is>
      </c>
      <c r="B7" s="370" t="inlineStr">
        <is>
          <t>← Enter reviewer name</t>
        </is>
      </c>
      <c r="C7" s="342" t="n"/>
      <c r="D7" s="342" t="n"/>
      <c r="E7" s="342" t="n"/>
      <c r="F7" s="342" t="n"/>
    </row>
    <row r="8" ht="15" customHeight="1" s="231">
      <c r="A8" s="415" t="inlineStr">
        <is>
          <t>Date Prepared</t>
        </is>
      </c>
      <c r="B8" s="236" t="inlineStr">
        <is>
          <t>← Enter preparation date</t>
        </is>
      </c>
      <c r="C8" s="409" t="n"/>
      <c r="D8" s="409" t="n"/>
      <c r="E8" s="409" t="n"/>
      <c r="F8" s="409" t="n"/>
    </row>
    <row r="9" ht="15" customHeight="1" s="231">
      <c r="A9" s="416" t="inlineStr">
        <is>
          <t>Reporting Period</t>
        </is>
      </c>
      <c r="B9" s="417">
        <f>Settings!B7</f>
        <v/>
      </c>
      <c r="C9" s="342" t="n"/>
      <c r="D9" s="342" t="n"/>
      <c r="E9" s="342" t="n"/>
      <c r="F9" s="342" t="n"/>
    </row>
    <row r="10" ht="15" customHeight="1" s="231">
      <c r="A10" s="415" t="inlineStr">
        <is>
          <t>Currency</t>
        </is>
      </c>
      <c r="B10" s="236" t="inlineStr">
        <is>
          <t>Namibian Dollar (NAD)</t>
        </is>
      </c>
      <c r="C10" s="409" t="n"/>
      <c r="D10" s="409" t="n"/>
      <c r="E10" s="409" t="n"/>
      <c r="F10" s="409" t="n"/>
    </row>
    <row r="11" ht="15" customHeight="1" s="231">
      <c r="A11" s="416" t="inlineStr">
        <is>
          <t>Tax Authority</t>
        </is>
      </c>
      <c r="B11" s="370" t="inlineStr">
        <is>
          <t>NamRA – Namibia Revenue Agency</t>
        </is>
      </c>
      <c r="C11" s="342" t="n"/>
      <c r="D11" s="342" t="n"/>
      <c r="E11" s="342" t="n"/>
      <c r="F11" s="342" t="n"/>
    </row>
    <row r="12" ht="15" customHeight="1" s="231">
      <c r="A12" s="415" t="inlineStr">
        <is>
          <t>Last Modified</t>
        </is>
      </c>
      <c r="B12" s="394" t="inlineStr">
        <is>
          <t>11 June 2026</t>
        </is>
      </c>
      <c r="C12" s="409" t="n"/>
      <c r="D12" s="409" t="n"/>
      <c r="E12" s="409" t="n"/>
      <c r="F12" s="409" t="n"/>
    </row>
    <row r="13" ht="15" customHeight="1" s="231">
      <c r="A13" s="416" t="inlineStr">
        <is>
          <t>Status</t>
        </is>
      </c>
      <c r="B13" s="370" t="inlineStr">
        <is>
          <t>DRAFT</t>
        </is>
      </c>
      <c r="C13" s="342" t="n"/>
      <c r="D13" s="342" t="n"/>
      <c r="E13" s="342" t="n"/>
      <c r="F13" s="342" t="n"/>
    </row>
    <row r="15" ht="15" customHeight="1" s="231">
      <c r="A15" s="344" t="inlineStr">
        <is>
          <t>COLOUR CODING LEGEND</t>
        </is>
      </c>
      <c r="B15" s="233" t="n"/>
      <c r="C15" s="233" t="n"/>
      <c r="D15" s="233" t="n"/>
      <c r="E15" s="233" t="n"/>
      <c r="F15" s="233" t="n"/>
    </row>
    <row r="16" ht="15" customHeight="1" s="231">
      <c r="A16" s="418" t="inlineStr">
        <is>
          <t>Aa</t>
        </is>
      </c>
      <c r="B16" s="415" t="inlineStr">
        <is>
          <t>Blue text</t>
        </is>
      </c>
      <c r="C16" s="408" t="inlineStr">
        <is>
          <t>Hardcoded input – value entered manually by user</t>
        </is>
      </c>
      <c r="D16" s="233" t="n"/>
      <c r="E16" s="233" t="n"/>
      <c r="F16" s="233" t="n"/>
    </row>
    <row r="17" ht="15" customHeight="1" s="231">
      <c r="A17" s="419" t="inlineStr">
        <is>
          <t>Aa</t>
        </is>
      </c>
      <c r="B17" s="416" t="inlineStr">
        <is>
          <t>Black text</t>
        </is>
      </c>
      <c r="C17" s="410" t="inlineStr">
        <is>
          <t>Formula – auto-calculated, do not override</t>
        </is>
      </c>
      <c r="D17" s="233" t="n"/>
      <c r="E17" s="233" t="n"/>
      <c r="F17" s="233" t="n"/>
    </row>
    <row r="18" ht="15" customHeight="1" s="231">
      <c r="A18" s="420" t="inlineStr">
        <is>
          <t>Aa</t>
        </is>
      </c>
      <c r="B18" s="415" t="inlineStr">
        <is>
          <t>Green text</t>
        </is>
      </c>
      <c r="C18" s="408" t="inlineStr">
        <is>
          <t>Cross-sheet link – pulls from another tab</t>
        </is>
      </c>
      <c r="D18" s="233" t="n"/>
      <c r="E18" s="233" t="n"/>
      <c r="F18" s="233" t="n"/>
    </row>
    <row r="19" ht="15" customHeight="1" s="231">
      <c r="A19" s="421" t="inlineStr">
        <is>
          <t>Aa</t>
        </is>
      </c>
      <c r="B19" s="416" t="inlineStr">
        <is>
          <t>Red text</t>
        </is>
      </c>
      <c r="C19" s="410" t="inlineStr">
        <is>
          <t>External link – pulls from another workbook</t>
        </is>
      </c>
      <c r="D19" s="233" t="n"/>
      <c r="E19" s="233" t="n"/>
      <c r="F19" s="233" t="n"/>
    </row>
    <row r="20" ht="15" customHeight="1" s="231">
      <c r="A20" s="422" t="inlineStr">
        <is>
          <t>Aa</t>
        </is>
      </c>
      <c r="B20" s="415" t="inlineStr">
        <is>
          <t>Yellow background</t>
        </is>
      </c>
      <c r="C20" s="408" t="inlineStr">
        <is>
          <t>Key assumption requiring attention / review</t>
        </is>
      </c>
      <c r="D20" s="233" t="n"/>
      <c r="E20" s="233" t="n"/>
      <c r="F20" s="233" t="n"/>
    </row>
    <row r="21" ht="15" customHeight="1" s="231">
      <c r="A21" s="423" t="inlineStr">
        <is>
          <t>Aa</t>
        </is>
      </c>
      <c r="B21" s="416" t="inlineStr">
        <is>
          <t>Blue background</t>
        </is>
      </c>
      <c r="C21" s="410" t="inlineStr">
        <is>
          <t>Subtotal row</t>
        </is>
      </c>
      <c r="D21" s="233" t="n"/>
      <c r="E21" s="233" t="n"/>
      <c r="F21" s="233" t="n"/>
    </row>
    <row r="22" ht="15" customHeight="1" s="231">
      <c r="A22" s="424" t="inlineStr">
        <is>
          <t>Aa</t>
        </is>
      </c>
      <c r="B22" s="415" t="inlineStr">
        <is>
          <t>Navy background</t>
        </is>
      </c>
      <c r="C22" s="408" t="inlineStr">
        <is>
          <t>Grand total / primary KPI row</t>
        </is>
      </c>
      <c r="D22" s="233" t="n"/>
      <c r="E22" s="233" t="n"/>
      <c r="F22" s="233" t="n"/>
    </row>
    <row r="24" ht="15" customHeight="1" s="231">
      <c r="A24" s="234" t="inlineStr">
        <is>
          <t>MANUAL INPUT REGISTER  –  All hardcoded values in the model</t>
        </is>
      </c>
      <c r="B24" s="233" t="n"/>
      <c r="C24" s="233" t="n"/>
      <c r="D24" s="233" t="n"/>
      <c r="E24" s="233" t="n"/>
      <c r="F24" s="233" t="n"/>
    </row>
    <row r="25" ht="15" customHeight="1" s="231">
      <c r="A25" s="364" t="inlineStr">
        <is>
          <t>Sheet</t>
        </is>
      </c>
      <c r="B25" s="364" t="inlineStr">
        <is>
          <t>Cell</t>
        </is>
      </c>
      <c r="C25" s="364" t="inlineStr">
        <is>
          <t>Description</t>
        </is>
      </c>
      <c r="D25" s="364" t="inlineStr">
        <is>
          <t>Value</t>
        </is>
      </c>
      <c r="E25" s="364" t="inlineStr">
        <is>
          <t>Validation Rule</t>
        </is>
      </c>
      <c r="F25" s="364" t="inlineStr">
        <is>
          <t>Last Updated</t>
        </is>
      </c>
    </row>
    <row r="26" ht="15" customHeight="1" s="231">
      <c r="A26" s="394" t="inlineStr">
        <is>
          <t>Settings</t>
        </is>
      </c>
      <c r="B26" s="394" t="inlineStr">
        <is>
          <t>B4</t>
        </is>
      </c>
      <c r="C26" s="394" t="inlineStr">
        <is>
          <t>Corporate Tax Rate</t>
        </is>
      </c>
      <c r="D26" s="394" t="inlineStr">
        <is>
          <t>30%</t>
        </is>
      </c>
      <c r="E26" s="394" t="inlineStr">
        <is>
          <t>0% – 100%</t>
        </is>
      </c>
      <c r="F26" s="394" t="n"/>
    </row>
    <row r="27" ht="15" customHeight="1" s="231">
      <c r="A27" s="395" t="inlineStr">
        <is>
          <t>Settings</t>
        </is>
      </c>
      <c r="B27" s="395" t="inlineStr">
        <is>
          <t>B5</t>
        </is>
      </c>
      <c r="C27" s="395" t="inlineStr">
        <is>
          <t>VAT Rate</t>
        </is>
      </c>
      <c r="D27" s="395" t="inlineStr">
        <is>
          <t>15%</t>
        </is>
      </c>
      <c r="E27" s="395" t="inlineStr">
        <is>
          <t>0% – 100%</t>
        </is>
      </c>
      <c r="F27" s="395" t="n"/>
    </row>
    <row r="28" ht="15" customHeight="1" s="231">
      <c r="A28" s="239" t="inlineStr">
        <is>
          <t>Settings</t>
        </is>
      </c>
      <c r="B28" s="239" t="inlineStr">
        <is>
          <t>B6</t>
        </is>
      </c>
      <c r="C28" s="239" t="inlineStr">
        <is>
          <t>Annual Interest Rate</t>
        </is>
      </c>
      <c r="D28" s="239" t="inlineStr">
        <is>
          <t>10%</t>
        </is>
      </c>
      <c r="E28" s="239" t="inlineStr">
        <is>
          <t>0% – 100%</t>
        </is>
      </c>
      <c r="F28" s="239" t="inlineStr">
        <is>
          <t>Update when loan rate changes</t>
        </is>
      </c>
    </row>
    <row r="29" ht="15" customHeight="1" s="231">
      <c r="A29" s="394" t="inlineStr">
        <is>
          <t>Journal</t>
        </is>
      </c>
      <c r="B29" s="394" t="inlineStr">
        <is>
          <t>E2:E21</t>
        </is>
      </c>
      <c r="C29" s="394" t="inlineStr">
        <is>
          <t>Transaction Amounts</t>
        </is>
      </c>
      <c r="D29" s="394" t="inlineStr">
        <is>
          <t>Various</t>
        </is>
      </c>
      <c r="E29" s="394" t="inlineStr">
        <is>
          <t>Must be ≥ 0</t>
        </is>
      </c>
      <c r="F29" s="394" t="n"/>
    </row>
    <row r="30" ht="15" customHeight="1" s="231">
      <c r="A30" s="395" t="inlineStr">
        <is>
          <t>Tax Engine</t>
        </is>
      </c>
      <c r="B30" s="395" t="inlineStr">
        <is>
          <t>C7</t>
        </is>
      </c>
      <c r="C30" s="395" t="inlineStr">
        <is>
          <t>Fines &amp; Penalties Add-Back</t>
        </is>
      </c>
      <c r="D30" s="395" t="inlineStr">
        <is>
          <t>0</t>
        </is>
      </c>
      <c r="E30" s="395" t="inlineStr">
        <is>
          <t>Must be ≥ 0</t>
        </is>
      </c>
      <c r="F30" s="395" t="n"/>
    </row>
    <row r="31" ht="15" customHeight="1" s="231">
      <c r="A31" s="394" t="inlineStr">
        <is>
          <t>Tax Engine</t>
        </is>
      </c>
      <c r="B31" s="394" t="inlineStr">
        <is>
          <t>C8</t>
        </is>
      </c>
      <c r="C31" s="394" t="inlineStr">
        <is>
          <t>50% Entertainment Disallowance</t>
        </is>
      </c>
      <c r="D31" s="394" t="inlineStr">
        <is>
          <t>0</t>
        </is>
      </c>
      <c r="E31" s="394" t="inlineStr">
        <is>
          <t>Must be ≥ 0</t>
        </is>
      </c>
      <c r="F31" s="394" t="n"/>
    </row>
    <row r="32" ht="15" customHeight="1" s="231">
      <c r="A32" s="395" t="inlineStr">
        <is>
          <t>Tax Engine</t>
        </is>
      </c>
      <c r="B32" s="395" t="inlineStr">
        <is>
          <t>C9</t>
        </is>
      </c>
      <c r="C32" s="395" t="inlineStr">
        <is>
          <t>Other Non-Deductible Items</t>
        </is>
      </c>
      <c r="D32" s="395" t="inlineStr">
        <is>
          <t>0</t>
        </is>
      </c>
      <c r="E32" s="395" t="inlineStr">
        <is>
          <t>Must be ≥ 0</t>
        </is>
      </c>
      <c r="F32" s="395" t="inlineStr">
        <is>
          <t>Manual</t>
        </is>
      </c>
    </row>
    <row r="33" ht="15" customHeight="1" s="231">
      <c r="A33" s="394" t="inlineStr">
        <is>
          <t>Tax Engine</t>
        </is>
      </c>
      <c r="B33" s="394" t="inlineStr">
        <is>
          <t>C14-17</t>
        </is>
      </c>
      <c r="C33" s="394" t="inlineStr">
        <is>
          <t>Capital Allowances (Wear &amp; Tear)</t>
        </is>
      </c>
      <c r="D33" s="394" t="inlineStr">
        <is>
          <t>0 each</t>
        </is>
      </c>
      <c r="E33" s="394" t="inlineStr">
        <is>
          <t>Must be ≥ 0</t>
        </is>
      </c>
      <c r="F33" s="394" t="inlineStr">
        <is>
          <t>Manual</t>
        </is>
      </c>
    </row>
    <row r="34" ht="15" customHeight="1" s="231">
      <c r="A34" s="395" t="inlineStr">
        <is>
          <t>Balance Sheet</t>
        </is>
      </c>
      <c r="B34" s="395" t="inlineStr">
        <is>
          <t>C13</t>
        </is>
      </c>
      <c r="C34" s="395" t="inlineStr">
        <is>
          <t>Prior Year Retained Earnings</t>
        </is>
      </c>
      <c r="D34" s="395" t="inlineStr">
        <is>
          <t>0</t>
        </is>
      </c>
      <c r="E34" s="395" t="inlineStr">
        <is>
          <t>Any value</t>
        </is>
      </c>
      <c r="F34" s="395" t="inlineStr">
        <is>
          <t>Manual</t>
        </is>
      </c>
    </row>
    <row r="35" ht="15" customHeight="1" s="231">
      <c r="A35" s="394" t="inlineStr">
        <is>
          <t>Asset Register</t>
        </is>
      </c>
      <c r="B35" s="394" t="inlineStr">
        <is>
          <t>E5:E10</t>
        </is>
      </c>
      <c r="C35" s="394" t="inlineStr">
        <is>
          <t>Asset Costs</t>
        </is>
      </c>
      <c r="D35" s="394" t="inlineStr">
        <is>
          <t>Various</t>
        </is>
      </c>
      <c r="E35" s="394" t="inlineStr">
        <is>
          <t>Must be &gt; 0</t>
        </is>
      </c>
      <c r="F35" s="394" t="n"/>
    </row>
    <row r="36" ht="15" customHeight="1" s="231">
      <c r="A36" s="395" t="inlineStr">
        <is>
          <t>Asset Register</t>
        </is>
      </c>
      <c r="B36" s="395" t="inlineStr">
        <is>
          <t>G5:G10</t>
        </is>
      </c>
      <c r="C36" s="395" t="inlineStr">
        <is>
          <t>NamRA Depreciation Rates</t>
        </is>
      </c>
      <c r="D36" s="395" t="inlineStr">
        <is>
          <t>Various</t>
        </is>
      </c>
      <c r="E36" s="395" t="inlineStr">
        <is>
          <t>Per NamRA schedule</t>
        </is>
      </c>
      <c r="F36" s="395" t="inlineStr">
        <is>
          <t>Fixed</t>
        </is>
      </c>
    </row>
    <row r="37" ht="15" customHeight="1" s="231">
      <c r="A37" s="394" t="inlineStr">
        <is>
          <t>Cash Flow</t>
        </is>
      </c>
      <c r="B37" s="394" t="inlineStr">
        <is>
          <t>C31</t>
        </is>
      </c>
      <c r="C37" s="394" t="inlineStr">
        <is>
          <t>Opening Cash Balance</t>
        </is>
      </c>
      <c r="D37" s="394" t="inlineStr">
        <is>
          <t>0</t>
        </is>
      </c>
      <c r="E37" s="394" t="inlineStr">
        <is>
          <t>Must be ≥ 0</t>
        </is>
      </c>
      <c r="F37" s="394" t="n"/>
    </row>
    <row r="38" ht="15" customHeight="1" s="231">
      <c r="A38" s="230" t="n"/>
    </row>
    <row r="39" ht="15" customHeight="1" s="231">
      <c r="A39" s="344" t="inlineStr">
        <is>
          <t>DATA VALIDATION RULES APPLIED IN THIS MODEL</t>
        </is>
      </c>
      <c r="B39" s="245" t="n"/>
      <c r="C39" s="233" t="n"/>
      <c r="D39" s="233" t="n"/>
      <c r="E39" s="233" t="n"/>
      <c r="F39" s="233" t="n"/>
    </row>
    <row r="40" ht="15" customHeight="1" s="231">
      <c r="A40" s="415" t="inlineStr">
        <is>
          <t>Tax Rates (Settings B4:B5)</t>
        </is>
      </c>
      <c r="B40" s="408" t="inlineStr">
        <is>
          <t>Decimal between 0 and 1. Input must be entered as decimal (e.g. 0.30 for 30%).</t>
        </is>
      </c>
      <c r="C40" s="233" t="n"/>
      <c r="D40" s="233" t="n"/>
      <c r="E40" s="233" t="n"/>
      <c r="F40" s="233" t="n"/>
    </row>
    <row r="41" ht="15" customHeight="1" s="231">
      <c r="A41" s="416" t="inlineStr">
        <is>
          <t>Transaction Amounts (Journal col E)</t>
        </is>
      </c>
      <c r="B41" s="410" t="inlineStr">
        <is>
          <t>Decimal ≥ 0. Negative amounts are not permitted in the Amount column.</t>
        </is>
      </c>
      <c r="C41" s="233" t="n"/>
      <c r="D41" s="233" t="n"/>
      <c r="E41" s="233" t="n"/>
      <c r="F41" s="233" t="n"/>
    </row>
    <row r="42" ht="15" customHeight="1" s="231">
      <c r="A42" s="415" t="inlineStr">
        <is>
          <t>Asset Costs (Asset Register col E)</t>
        </is>
      </c>
      <c r="B42" s="408" t="inlineStr">
        <is>
          <t>Decimal ≥ 0. Leave blank if asset not yet acquired.</t>
        </is>
      </c>
      <c r="C42" s="233" t="n"/>
      <c r="D42" s="233" t="n"/>
      <c r="E42" s="233" t="n"/>
      <c r="F42" s="233" t="n"/>
    </row>
    <row r="43" ht="15" customHeight="1" s="231">
      <c r="A43" s="416" t="inlineStr">
        <is>
          <t>NamRA Rates (Asset Register col G)</t>
        </is>
      </c>
      <c r="B43" s="410" t="inlineStr">
        <is>
          <t>Decimal between 0 and 1. Refer to NamRA schedule: 0.3333, 0.20, 0.10, 0.04.</t>
        </is>
      </c>
      <c r="C43" s="233" t="n"/>
      <c r="D43" s="233" t="n"/>
      <c r="E43" s="233" t="n"/>
      <c r="F43" s="233" t="n"/>
    </row>
    <row r="44" ht="15" customHeight="1" s="231">
      <c r="A44" s="415" t="inlineStr">
        <is>
          <t>VAT Flag (Journal col F)</t>
        </is>
      </c>
      <c r="B44" s="408" t="inlineStr">
        <is>
          <t>Must be Y or N only. Y = VAT applicable, N = exempt/out-of-scope.</t>
        </is>
      </c>
      <c r="C44" s="233" t="n"/>
      <c r="D44" s="233" t="n"/>
      <c r="E44" s="233" t="n"/>
      <c r="F44" s="233" t="n"/>
    </row>
    <row r="45" ht="15" customHeight="1" s="231">
      <c r="A45" s="416" t="inlineStr">
        <is>
          <t>Status (this sheet B13)</t>
        </is>
      </c>
      <c r="B45" s="410" t="inlineStr">
        <is>
          <t>Must be DRAFT, REVIEWED, or FINAL.</t>
        </is>
      </c>
      <c r="C45" s="245" t="n"/>
      <c r="D45" s="245" t="n"/>
      <c r="E45" s="245" t="n"/>
      <c r="F45" s="245" t="n"/>
    </row>
    <row r="46" ht="15" customHeight="1" s="231"/>
    <row r="47" ht="15" customHeight="1" s="231">
      <c r="A47" s="411" t="inlineStr">
        <is>
          <t>v4.1 CHANGES – HIGH PRIORITY FIXES</t>
        </is>
      </c>
    </row>
    <row r="48" ht="15" customHeight="1" s="231">
      <c r="A48" s="351" t="inlineStr">
        <is>
          <t>FIX 1: Reporting Period and Company Name parameters added to Settings!B6:B7; IS/BS/CF headers now dynamic</t>
        </is>
      </c>
    </row>
    <row r="49" ht="15" customHeight="1" s="231">
      <c r="A49" s="351" t="inlineStr">
        <is>
          <t>FIX 2: IS revenue, COGS, OPEX lines now use SUMIF(Journal!C:C, account, Journal!E:E) – no manual entry needed</t>
        </is>
      </c>
    </row>
    <row r="50" ht="15" customHeight="1" s="231">
      <c r="A50" s="351" t="inlineStr">
        <is>
          <t>FIX 2b: Balance Sheet asset/liability lines now use SUMIF from Journal for all accounts</t>
        </is>
      </c>
    </row>
    <row r="51" ht="15" customHeight="1" s="231">
      <c r="A51" s="351" t="inlineStr">
        <is>
          <t>FIX 3: Cash Flow depreciation auto-linked from IS; working capital movement formulas added; opening balance table at row 41</t>
        </is>
      </c>
    </row>
    <row r="52" ht="15" customHeight="1" s="231">
      <c r="A52" s="351" t="inlineStr">
        <is>
          <t>FIX 4: Tax Engine Step 3 capital allowances auto-pull from Asset Register Depreciation Summary (B14:B17)</t>
        </is>
      </c>
    </row>
    <row r="53" ht="15" customHeight="1" s="231">
      <c r="A53" s="351" t="inlineStr">
        <is>
          <t>FIX 4b: Tax Engine add-backs (Fines, Entertainment 50%) auto-pull from Journal via SUMIF</t>
        </is>
      </c>
    </row>
    <row r="54" ht="15" customHeight="1" s="231">
      <c r="A54" s="351" t="inlineStr">
        <is>
          <t>FIX 5: VAT Ledger Section D added for Journal cross-check; Balance Sheet VAT Payable linked to VAT Ledger Net</t>
        </is>
      </c>
    </row>
    <row r="56" ht="15" customHeight="1" s="231">
      <c r="A56" s="425" t="inlineStr">
        <is>
          <t>AUDIT CHANGE LOG</t>
        </is>
      </c>
      <c r="B56" s="282" t="n"/>
      <c r="C56" s="282" t="n"/>
      <c r="D56" s="282" t="n"/>
      <c r="E56" s="282" t="n"/>
      <c r="F56" s="282" t="n"/>
    </row>
    <row r="57" ht="15" customHeight="1" s="231">
      <c r="A57" s="426" t="inlineStr">
        <is>
          <t>Date</t>
        </is>
      </c>
      <c r="B57" s="426" t="inlineStr">
        <is>
          <t>Changed By</t>
        </is>
      </c>
      <c r="C57" s="426" t="inlineStr">
        <is>
          <t>Sheet / Cell</t>
        </is>
      </c>
      <c r="D57" s="426" t="inlineStr">
        <is>
          <t>Description of Change</t>
        </is>
      </c>
      <c r="E57" s="426" t="inlineStr">
        <is>
          <t>Version</t>
        </is>
      </c>
    </row>
    <row r="58" ht="15" customHeight="1" s="231">
      <c r="A58" s="427" t="n"/>
      <c r="B58" s="428" t="n"/>
      <c r="C58" s="428" t="n"/>
      <c r="D58" s="428" t="n"/>
      <c r="E58" s="428" t="n"/>
    </row>
    <row r="59" ht="15" customHeight="1" s="231">
      <c r="A59" s="429" t="n"/>
      <c r="B59" s="378" t="n"/>
      <c r="C59" s="378" t="n"/>
      <c r="D59" s="378" t="n"/>
      <c r="E59" s="378" t="n"/>
    </row>
    <row r="60" ht="15" customHeight="1" s="231">
      <c r="A60" s="427" t="n"/>
      <c r="B60" s="428" t="n"/>
      <c r="C60" s="428" t="n"/>
      <c r="D60" s="428" t="n"/>
      <c r="E60" s="428" t="n"/>
    </row>
    <row r="61" ht="15" customHeight="1" s="231">
      <c r="A61" s="429" t="n"/>
      <c r="B61" s="378" t="n"/>
      <c r="C61" s="378" t="n"/>
      <c r="D61" s="378" t="n"/>
      <c r="E61" s="378" t="n"/>
    </row>
    <row r="62" ht="15" customHeight="1" s="231">
      <c r="A62" s="427" t="n"/>
      <c r="B62" s="428" t="n"/>
      <c r="C62" s="428" t="n"/>
      <c r="D62" s="428" t="n"/>
      <c r="E62" s="428" t="n"/>
    </row>
    <row r="63" ht="15" customHeight="1" s="231">
      <c r="A63" s="429" t="n"/>
      <c r="B63" s="378" t="n"/>
      <c r="C63" s="378" t="n"/>
      <c r="D63" s="378" t="n"/>
      <c r="E63" s="378" t="n"/>
    </row>
    <row r="64" ht="15" customHeight="1" s="231">
      <c r="A64" s="427" t="n"/>
      <c r="B64" s="428" t="n"/>
      <c r="C64" s="428" t="n"/>
      <c r="D64" s="428" t="n"/>
      <c r="E64" s="428" t="n"/>
    </row>
    <row r="65" ht="15" customHeight="1" s="231">
      <c r="A65" s="429" t="n"/>
      <c r="B65" s="378" t="n"/>
      <c r="C65" s="378" t="n"/>
      <c r="D65" s="378" t="n"/>
      <c r="E65" s="378" t="n"/>
    </row>
    <row r="66" ht="15" customHeight="1" s="231">
      <c r="A66" s="427" t="n"/>
      <c r="B66" s="428" t="n"/>
      <c r="C66" s="428" t="n"/>
      <c r="D66" s="428" t="n"/>
      <c r="E66" s="428" t="n"/>
    </row>
    <row r="67" ht="15" customHeight="1" s="231">
      <c r="A67" s="429" t="n"/>
      <c r="B67" s="378" t="n"/>
      <c r="C67" s="378" t="n"/>
      <c r="D67" s="378" t="n"/>
      <c r="E67" s="378" t="n"/>
    </row>
    <row r="68" ht="15" customHeight="1" s="231">
      <c r="A68" s="427" t="n"/>
      <c r="B68" s="428" t="n"/>
      <c r="C68" s="428" t="n"/>
      <c r="D68" s="428" t="n"/>
      <c r="E68" s="428" t="n"/>
    </row>
    <row r="69" ht="15" customHeight="1" s="231">
      <c r="A69" s="429" t="n"/>
      <c r="B69" s="378" t="n"/>
      <c r="C69" s="378" t="n"/>
      <c r="D69" s="378" t="n"/>
      <c r="E69" s="378" t="n"/>
    </row>
    <row r="70" ht="15" customHeight="1" s="231">
      <c r="A70" s="427" t="n"/>
      <c r="B70" s="428" t="n"/>
      <c r="C70" s="428" t="n"/>
      <c r="D70" s="428" t="n"/>
      <c r="E70" s="428" t="n"/>
    </row>
    <row r="71" ht="15" customHeight="1" s="231">
      <c r="A71" s="429" t="n"/>
      <c r="B71" s="378" t="n"/>
      <c r="C71" s="378" t="n"/>
      <c r="D71" s="378" t="n"/>
      <c r="E71" s="378" t="n"/>
    </row>
    <row r="72" ht="15" customHeight="1" s="231">
      <c r="A72" s="427" t="n"/>
      <c r="B72" s="428" t="n"/>
      <c r="C72" s="428" t="n"/>
      <c r="D72" s="428" t="n"/>
      <c r="E72" s="428" t="n"/>
    </row>
    <row r="74" ht="15" customHeight="1" s="231">
      <c r="A74" s="430" t="inlineStr">
        <is>
          <t>v7.0 CHANGES – FULL UPGRADE (AUTOMATED AFS + INTEGRITY)</t>
        </is>
      </c>
    </row>
    <row r="75" ht="15" customHeight="1" s="231">
      <c r="A75" s="431" t="inlineStr">
        <is>
          <t>11 Jun 2026</t>
        </is>
      </c>
      <c r="B75" s="431" t="inlineStr">
        <is>
          <t>Claude</t>
        </is>
      </c>
      <c r="C75" s="431" t="inlineStr">
        <is>
          <t>Various</t>
        </is>
      </c>
      <c r="D75" s="431" t="inlineStr">
        <is>
          <t>AFS: 6 new tabs (Cover, Income, Position, Equity, Cash Flows, Notes) fully formula-driven</t>
        </is>
      </c>
      <c r="E75" s="431" t="inlineStr">
        <is>
          <t>v7.0</t>
        </is>
      </c>
    </row>
    <row r="76" ht="15" customHeight="1" s="231">
      <c r="A76" s="431" t="inlineStr">
        <is>
          <t>11 Jun 2026</t>
        </is>
      </c>
      <c r="B76" s="431" t="inlineStr">
        <is>
          <t>Claude</t>
        </is>
      </c>
      <c r="C76" s="431" t="inlineStr">
        <is>
          <t>Various</t>
        </is>
      </c>
      <c r="D76" s="431" t="inlineStr">
        <is>
          <t>Journal rebuilt as double-entry (Debit/Credit), 100 rows, account &amp; Y/N dropdowns, Debits=Credits check</t>
        </is>
      </c>
      <c r="E76" s="431" t="inlineStr">
        <is>
          <t>v7.0</t>
        </is>
      </c>
    </row>
    <row r="77" ht="15" customHeight="1" s="231">
      <c r="A77" s="431" t="inlineStr">
        <is>
          <t>11 Jun 2026</t>
        </is>
      </c>
      <c r="B77" s="431" t="inlineStr">
        <is>
          <t>Claude</t>
        </is>
      </c>
      <c r="C77" s="431" t="inlineStr">
        <is>
          <t>Various</t>
        </is>
      </c>
      <c r="D77" s="431" t="inlineStr">
        <is>
          <t>All IS/BS/Tax/CF formulas converted to debit/credit logic with normal-balance signs</t>
        </is>
      </c>
      <c r="E77" s="431" t="inlineStr">
        <is>
          <t>v7.0</t>
        </is>
      </c>
    </row>
    <row r="78" ht="15" customHeight="1" s="231">
      <c r="A78" s="431" t="inlineStr">
        <is>
          <t>11 Jun 2026</t>
        </is>
      </c>
      <c r="B78" s="431" t="inlineStr">
        <is>
          <t>Claude</t>
        </is>
      </c>
      <c r="C78" s="431" t="inlineStr">
        <is>
          <t>Various</t>
        </is>
      </c>
      <c r="D78" s="431" t="inlineStr">
        <is>
          <t>Prior Year sheet added: feeds opening cash, working capital, retained earnings, equity opening, AFS comparative column</t>
        </is>
      </c>
      <c r="E78" s="431" t="inlineStr">
        <is>
          <t>v7.0</t>
        </is>
      </c>
    </row>
    <row r="79" ht="15" customHeight="1" s="231">
      <c r="A79" s="431" t="inlineStr">
        <is>
          <t>11 Jun 2026</t>
        </is>
      </c>
      <c r="B79" s="431" t="inlineStr">
        <is>
          <t>Claude</t>
        </is>
      </c>
      <c r="C79" s="431" t="inlineStr">
        <is>
          <t>Various</t>
        </is>
      </c>
      <c r="D79" s="431" t="inlineStr">
        <is>
          <t>Cash Flow investing &amp; financing now auto-derived from Journal (PP&amp;E, shares, loans, dividends)</t>
        </is>
      </c>
      <c r="E79" s="431" t="inlineStr">
        <is>
          <t>v7.0</t>
        </is>
      </c>
    </row>
    <row r="80" ht="15" customHeight="1" s="231">
      <c r="A80" s="431" t="inlineStr">
        <is>
          <t>11 Jun 2026</t>
        </is>
      </c>
      <c r="B80" s="431" t="inlineStr">
        <is>
          <t>Claude</t>
        </is>
      </c>
      <c r="C80" s="431" t="inlineStr">
        <is>
          <t>Various</t>
        </is>
      </c>
      <c r="D80" s="431" t="inlineStr">
        <is>
          <t>Tax Engine: EBT relink (was reading interest line), assessed loss b/f input + c/f calc, taxable income floored at 0</t>
        </is>
      </c>
      <c r="E80" s="431" t="inlineStr">
        <is>
          <t>v7.0</t>
        </is>
      </c>
    </row>
    <row r="81" ht="15" customHeight="1" s="231">
      <c r="A81" s="431" t="inlineStr">
        <is>
          <t>11 Jun 2026</t>
        </is>
      </c>
      <c r="B81" s="431" t="inlineStr">
        <is>
          <t>Claude</t>
        </is>
      </c>
      <c r="C81" s="431" t="inlineStr">
        <is>
          <t>Various</t>
        </is>
      </c>
      <c r="D81" s="431" t="inlineStr">
        <is>
          <t>Tax Engine capital allowances relinked to Asset Register B33:B36 (previously read empty cells B14:B17)</t>
        </is>
      </c>
      <c r="E81" s="431" t="inlineStr">
        <is>
          <t>v7.0</t>
        </is>
      </c>
    </row>
    <row r="82" ht="15" customHeight="1" s="231">
      <c r="A82" s="431" t="inlineStr">
        <is>
          <t>11 Jun 2026</t>
        </is>
      </c>
      <c r="B82" s="431" t="inlineStr">
        <is>
          <t>Claude</t>
        </is>
      </c>
      <c r="C82" s="431" t="inlineStr">
        <is>
          <t>Various</t>
        </is>
      </c>
      <c r="D82" s="431" t="inlineStr">
        <is>
          <t>Asset Register: FA-009 row restored (was merged without formulas); total depreciation sum range fixed</t>
        </is>
      </c>
      <c r="E82" s="431" t="inlineStr">
        <is>
          <t>v7.0</t>
        </is>
      </c>
    </row>
    <row r="83" ht="15" customHeight="1" s="231">
      <c r="A83" s="431" t="inlineStr">
        <is>
          <t>11 Jun 2026</t>
        </is>
      </c>
      <c r="B83" s="431" t="inlineStr">
        <is>
          <t>Claude</t>
        </is>
      </c>
      <c r="C83" s="431" t="inlineStr">
        <is>
          <t>Various</t>
        </is>
      </c>
      <c r="D83" s="431" t="inlineStr">
        <is>
          <t>Interest expense pro-rated by Months in Period (Settings B9)</t>
        </is>
      </c>
      <c r="E83" s="431" t="inlineStr">
        <is>
          <t>v7.0</t>
        </is>
      </c>
    </row>
    <row r="84" ht="15" customHeight="1" s="231">
      <c r="A84" s="431" t="inlineStr">
        <is>
          <t>11 Jun 2026</t>
        </is>
      </c>
      <c r="B84" s="431" t="inlineStr">
        <is>
          <t>Claude</t>
        </is>
      </c>
      <c r="C84" s="431" t="inlineStr">
        <is>
          <t>Various</t>
        </is>
      </c>
      <c r="D84" s="431" t="inlineStr">
        <is>
          <t>VAT Ledger: broken/merged invoice rows restored, VAT-inclusive extraction standardized, rates linked to Settings, journal cross-check fixed</t>
        </is>
      </c>
      <c r="E84" s="431" t="inlineStr">
        <is>
          <t>v7.0</t>
        </is>
      </c>
    </row>
    <row r="85" ht="15" customHeight="1" s="231">
      <c r="A85" s="431" t="inlineStr">
        <is>
          <t>11 Jun 2026</t>
        </is>
      </c>
      <c r="B85" s="431" t="inlineStr">
        <is>
          <t>Claude</t>
        </is>
      </c>
      <c r="C85" s="431" t="inlineStr">
        <is>
          <t>Various</t>
        </is>
      </c>
      <c r="D85" s="431" t="inlineStr">
        <is>
          <t>Equity: BS equity now includes current-year profit; VAT payable = net NamRA liability; dynamic headers use Settings B7/B8</t>
        </is>
      </c>
      <c r="E85" s="431" t="inlineStr">
        <is>
          <t>v7.0</t>
        </is>
      </c>
    </row>
    <row r="86" ht="15" customHeight="1" s="231">
      <c r="A86" s="431" t="inlineStr">
        <is>
          <t>11 Jun 2026</t>
        </is>
      </c>
      <c r="B86" s="431" t="inlineStr">
        <is>
          <t>Claude</t>
        </is>
      </c>
      <c r="C86" s="431" t="inlineStr">
        <is>
          <t>Various</t>
        </is>
      </c>
      <c r="D86" s="431" t="inlineStr">
        <is>
          <t>Conditional formatting (green/red) on all balance checks; formula cells locked, inputs unlocked (no password)</t>
        </is>
      </c>
      <c r="E86" s="431" t="inlineStr">
        <is>
          <t>v7.0</t>
        </is>
      </c>
    </row>
  </sheetData>
  <mergeCells count="19">
    <mergeCell ref="C17:F17"/>
    <mergeCell ref="A3:F3"/>
    <mergeCell ref="C19:F19"/>
    <mergeCell ref="A2:F2"/>
    <mergeCell ref="C18:F18"/>
    <mergeCell ref="B43:F43"/>
    <mergeCell ref="B39:F39"/>
    <mergeCell ref="B42:F42"/>
    <mergeCell ref="A38:F38"/>
    <mergeCell ref="B44:F44"/>
    <mergeCell ref="C20:F20"/>
    <mergeCell ref="C16:F16"/>
    <mergeCell ref="B40:F40"/>
    <mergeCell ref="A15:F15"/>
    <mergeCell ref="C22:F22"/>
    <mergeCell ref="A24:F24"/>
    <mergeCell ref="A1:F1"/>
    <mergeCell ref="C21:F21"/>
    <mergeCell ref="B41:F41"/>
  </mergeCells>
  <dataValidations count="1">
    <dataValidation sqref="B13" showDropDown="0" showInputMessage="0" showErrorMessage="1" allowBlank="0" errorTitle="Invalid Status" error="Status must be DRAFT, REVIEWED or FINAL." type="list" errorStyle="stop" operator="between">
      <formula1>"DRAFT,REVIEWED,FINAL"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D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230" min="1" max="1"/>
    <col width="46" customWidth="1" style="230" min="2" max="2"/>
    <col width="6" customWidth="1" style="230" min="3" max="4"/>
  </cols>
  <sheetData>
    <row r="1" ht="15" customHeight="1" s="231">
      <c r="A1" s="272" t="inlineStr">
        <is>
          <t>ANNUAL FINANCIAL STATEMENTS</t>
        </is>
      </c>
    </row>
    <row r="2" ht="15" customHeight="1" s="231">
      <c r="A2" s="432">
        <f>Settings!B8</f>
        <v/>
      </c>
    </row>
    <row r="3" ht="15" customHeight="1" s="231">
      <c r="A3" s="433">
        <f>"for the period ended "&amp;Settings!B7</f>
        <v/>
      </c>
    </row>
    <row r="5" ht="15" customHeight="1" s="231">
      <c r="A5" s="434" t="inlineStr">
        <is>
          <t>GENERAL INFORMATION</t>
        </is>
      </c>
    </row>
    <row r="6" ht="15" customHeight="1" s="231">
      <c r="A6" s="239" t="inlineStr">
        <is>
          <t>Entity name</t>
        </is>
      </c>
      <c r="B6" s="435">
        <f>Settings!B8</f>
        <v/>
      </c>
    </row>
    <row r="7" ht="15" customHeight="1" s="231">
      <c r="A7" s="239" t="inlineStr">
        <is>
          <t>Reporting period</t>
        </is>
      </c>
      <c r="B7" s="435">
        <f>Settings!B7</f>
        <v/>
      </c>
    </row>
    <row r="8" ht="15" customHeight="1" s="231">
      <c r="A8" s="239" t="inlineStr">
        <is>
          <t>Country of incorporation</t>
        </is>
      </c>
      <c r="B8" s="436" t="inlineStr">
        <is>
          <t>Namibia</t>
        </is>
      </c>
    </row>
    <row r="9" ht="15" customHeight="1" s="231">
      <c r="A9" s="239" t="inlineStr">
        <is>
          <t>Functional &amp; presentation currency</t>
        </is>
      </c>
      <c r="B9" s="436" t="inlineStr">
        <is>
          <t>Namibian Dollar (NAD)</t>
        </is>
      </c>
    </row>
    <row r="10" ht="15" customHeight="1" s="231">
      <c r="A10" s="239" t="inlineStr">
        <is>
          <t>Tax authority</t>
        </is>
      </c>
      <c r="B10" s="436" t="inlineStr">
        <is>
          <t>Namibia Revenue Agency (NamRA)</t>
        </is>
      </c>
    </row>
    <row r="11" ht="15" customHeight="1" s="231">
      <c r="A11" s="239" t="inlineStr">
        <is>
          <t>Corporate income tax rate</t>
        </is>
      </c>
      <c r="B11" s="437">
        <f>Settings!B4</f>
        <v/>
      </c>
    </row>
    <row r="12" ht="15" customHeight="1" s="231">
      <c r="A12" s="239" t="inlineStr">
        <is>
          <t>Basis of accounting</t>
        </is>
      </c>
      <c r="B12" s="436" t="inlineStr">
        <is>
          <t>Historical cost; accrual basis; going concern</t>
        </is>
      </c>
    </row>
    <row r="14" ht="15" customHeight="1" s="231">
      <c r="A14" s="434" t="inlineStr">
        <is>
          <t>CONTENTS OF THE ANNUAL FINANCIAL STATEMENTS</t>
        </is>
      </c>
    </row>
    <row r="15" ht="15" customHeight="1" s="231">
      <c r="A15" s="239" t="inlineStr">
        <is>
          <t>Statement of Profit or Loss and Other Comprehensive Income</t>
        </is>
      </c>
      <c r="B15" s="244" t="inlineStr">
        <is>
          <t>see tab: AFS - Income</t>
        </is>
      </c>
    </row>
    <row r="16" ht="15" customHeight="1" s="231">
      <c r="A16" s="239" t="inlineStr">
        <is>
          <t>Statement of Financial Position</t>
        </is>
      </c>
      <c r="B16" s="244" t="inlineStr">
        <is>
          <t>see tab: AFS - Position</t>
        </is>
      </c>
    </row>
    <row r="17" ht="15" customHeight="1" s="231">
      <c r="A17" s="239" t="inlineStr">
        <is>
          <t>Statement of Changes in Equity</t>
        </is>
      </c>
      <c r="B17" s="244" t="inlineStr">
        <is>
          <t>see tab: AFS - Equity</t>
        </is>
      </c>
    </row>
    <row r="18" ht="15" customHeight="1" s="231">
      <c r="A18" s="239" t="inlineStr">
        <is>
          <t>Statement of Cash Flows</t>
        </is>
      </c>
      <c r="B18" s="244" t="inlineStr">
        <is>
          <t>see tab: AFS - Cash Flows</t>
        </is>
      </c>
    </row>
    <row r="19" ht="15" customHeight="1" s="231">
      <c r="A19" s="239" t="inlineStr">
        <is>
          <t>Notes to the Annual Financial Statements</t>
        </is>
      </c>
      <c r="B19" s="244" t="inlineStr">
        <is>
          <t>see tab: AFS - Notes</t>
        </is>
      </c>
    </row>
    <row r="21" ht="15" customHeight="1" s="231">
      <c r="A21" s="434" t="inlineStr">
        <is>
          <t>APPROVAL OF THE ANNUAL FINANCIAL STATEMENTS</t>
        </is>
      </c>
    </row>
    <row r="22" ht="48" customHeight="1" s="231">
      <c r="A22" s="438" t="inlineStr">
        <is>
          <t>The annual financial statements set out in these statements, which have been prepared on the going-concern basis, were approved by the directors and are signed on their behalf by:</t>
        </is>
      </c>
    </row>
    <row r="23" ht="15" customHeight="1" s="231"/>
    <row r="24" ht="15" customHeight="1" s="231"/>
    <row r="25" ht="15" customHeight="1" s="231">
      <c r="A25" s="239" t="inlineStr">
        <is>
          <t>Director: ______________________________</t>
        </is>
      </c>
      <c r="B25" s="239" t="inlineStr">
        <is>
          <t>Date: ____________________</t>
        </is>
      </c>
    </row>
    <row r="27" ht="15" customHeight="1" s="231">
      <c r="A27" s="239" t="inlineStr">
        <is>
          <t>Director: ______________________________</t>
        </is>
      </c>
      <c r="B27" s="239" t="inlineStr">
        <is>
          <t>Date: ____________________</t>
        </is>
      </c>
    </row>
    <row r="29" ht="31.5" customHeight="1" s="231">
      <c r="A29" s="439" t="inlineStr">
        <is>
          <t>Directors are responsible for the preparation and fair presentation of these financial statements and for maintaining adequate accounting records and internal controls.</t>
        </is>
      </c>
    </row>
    <row r="30" ht="15" customHeight="1" s="231"/>
  </sheetData>
  <sheetProtection selectLockedCells="0" selectUnlockedCells="0" sheet="1" objects="0" insertRows="1" insertHyperlinks="1" autoFilter="1" scenarios="0" formatColumns="0" deleteColumns="1" insertColumns="1" pivotTables="1" deleteRows="1" formatCells="1" formatRows="0" sort="1"/>
  <mergeCells count="8">
    <mergeCell ref="A1:D1"/>
    <mergeCell ref="A5:D5"/>
    <mergeCell ref="A3:D3"/>
    <mergeCell ref="A21:D21"/>
    <mergeCell ref="A29:D30"/>
    <mergeCell ref="A2:D2"/>
    <mergeCell ref="A14:D14"/>
    <mergeCell ref="A22:D2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D18"/>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230" min="1" max="1"/>
    <col width="8" customWidth="1" style="230" min="2" max="2"/>
    <col width="20" customWidth="1" style="230" min="3" max="4"/>
  </cols>
  <sheetData>
    <row r="1" ht="15" customHeight="1" s="231">
      <c r="A1" s="272">
        <f>Settings!B8</f>
        <v/>
      </c>
    </row>
    <row r="2" ht="15" customHeight="1" s="231">
      <c r="A2" s="275" t="inlineStr">
        <is>
          <t>Statement of Profit or Loss and Other Comprehensive Income</t>
        </is>
      </c>
    </row>
    <row r="3" ht="15" customHeight="1" s="231">
      <c r="A3" s="433">
        <f>"for the period ended "&amp;Settings!B7</f>
        <v/>
      </c>
    </row>
    <row r="5" ht="15" customHeight="1" s="231">
      <c r="A5" s="274" t="n"/>
      <c r="B5" s="275" t="inlineStr">
        <is>
          <t>Note</t>
        </is>
      </c>
      <c r="C5" s="275" t="inlineStr">
        <is>
          <t>Current period (N$)</t>
        </is>
      </c>
      <c r="D5" s="275" t="inlineStr">
        <is>
          <t>Prior period (N$)</t>
        </is>
      </c>
    </row>
    <row r="6" ht="15" customHeight="1" s="231">
      <c r="A6" s="239" t="inlineStr">
        <is>
          <t>Revenue</t>
        </is>
      </c>
      <c r="B6" s="440" t="inlineStr">
        <is>
          <t>3</t>
        </is>
      </c>
      <c r="C6" s="349">
        <f>'Income Statement'!C7</f>
        <v/>
      </c>
      <c r="D6" s="349">
        <f>'Income Statement'!E7</f>
        <v/>
      </c>
    </row>
    <row r="7" ht="15" customHeight="1" s="231">
      <c r="A7" s="239" t="inlineStr">
        <is>
          <t>Cost of sales</t>
        </is>
      </c>
      <c r="B7" s="440" t="n"/>
      <c r="C7" s="349">
        <f>-'Income Statement'!C11</f>
        <v/>
      </c>
      <c r="D7" s="349">
        <f>-'Income Statement'!E11</f>
        <v/>
      </c>
    </row>
    <row r="8" ht="15" customHeight="1" s="231">
      <c r="A8" s="277" t="inlineStr">
        <is>
          <t>Gross profit</t>
        </is>
      </c>
      <c r="B8" s="441" t="n"/>
      <c r="C8" s="442">
        <f>'Income Statement'!C12</f>
        <v/>
      </c>
      <c r="D8" s="442">
        <f>'Income Statement'!E12</f>
        <v/>
      </c>
    </row>
    <row r="9" ht="15" customHeight="1" s="231">
      <c r="A9" s="239" t="inlineStr">
        <is>
          <t>Other operating expenses</t>
        </is>
      </c>
      <c r="B9" s="440" t="inlineStr">
        <is>
          <t>4</t>
        </is>
      </c>
      <c r="C9" s="349">
        <f>-'Income Statement'!C24</f>
        <v/>
      </c>
      <c r="D9" s="349">
        <f>-'Income Statement'!E24</f>
        <v/>
      </c>
    </row>
    <row r="10" ht="15" customHeight="1" s="231">
      <c r="A10" s="277" t="inlineStr">
        <is>
          <t>Operating profit</t>
        </is>
      </c>
      <c r="B10" s="441" t="n"/>
      <c r="C10" s="442">
        <f>'Income Statement'!C25</f>
        <v/>
      </c>
      <c r="D10" s="442">
        <f>'Income Statement'!E25</f>
        <v/>
      </c>
    </row>
    <row r="11" ht="15" customHeight="1" s="231">
      <c r="A11" s="239" t="inlineStr">
        <is>
          <t>Finance costs</t>
        </is>
      </c>
      <c r="B11" s="440" t="inlineStr">
        <is>
          <t>5</t>
        </is>
      </c>
      <c r="C11" s="349">
        <f>-'Income Statement'!C27</f>
        <v/>
      </c>
      <c r="D11" s="349">
        <f>-'Income Statement'!E27</f>
        <v/>
      </c>
    </row>
    <row r="12" ht="15" customHeight="1" s="231">
      <c r="A12" s="277" t="inlineStr">
        <is>
          <t>Profit before taxation</t>
        </is>
      </c>
      <c r="B12" s="441" t="n"/>
      <c r="C12" s="442">
        <f>'Income Statement'!C28</f>
        <v/>
      </c>
      <c r="D12" s="442">
        <f>'Income Statement'!E28</f>
        <v/>
      </c>
    </row>
    <row r="13" ht="15" customHeight="1" s="231">
      <c r="A13" s="239" t="inlineStr">
        <is>
          <t>Income tax expense</t>
        </is>
      </c>
      <c r="B13" s="440" t="inlineStr">
        <is>
          <t>6</t>
        </is>
      </c>
      <c r="C13" s="349">
        <f>-'Tax Engine'!C30</f>
        <v/>
      </c>
      <c r="D13" s="349">
        <f>-'Income Statement'!E29</f>
        <v/>
      </c>
    </row>
    <row r="14" ht="15" customHeight="1" s="231">
      <c r="A14" s="443" t="inlineStr">
        <is>
          <t>Profit for the period</t>
        </is>
      </c>
      <c r="B14" s="444" t="n"/>
      <c r="C14" s="445">
        <f>'Income Statement'!C31</f>
        <v/>
      </c>
      <c r="D14" s="445">
        <f>'Income Statement'!E31</f>
        <v/>
      </c>
    </row>
    <row r="15" ht="15" customHeight="1" s="231">
      <c r="A15" s="239" t="inlineStr">
        <is>
          <t>Other comprehensive income</t>
        </is>
      </c>
      <c r="B15" s="440" t="n"/>
      <c r="C15" s="340" t="n">
        <v>0</v>
      </c>
      <c r="D15" s="340" t="n">
        <v>0</v>
      </c>
    </row>
    <row r="16" ht="15" customHeight="1" s="231">
      <c r="A16" s="280" t="inlineStr">
        <is>
          <t>Total comprehensive income for the period</t>
        </is>
      </c>
      <c r="B16" s="446" t="n"/>
      <c r="C16" s="281">
        <f>'Income Statement'!C31</f>
        <v/>
      </c>
      <c r="D16" s="281">
        <f>'Income Statement'!E31</f>
        <v/>
      </c>
    </row>
    <row r="18" ht="15" customHeight="1" s="231">
      <c r="A18" s="244" t="inlineStr">
        <is>
          <t>All amounts in Namibian Dollars (N$). Figures flow automatically from the Income Statement and Tax Engine.</t>
        </is>
      </c>
    </row>
  </sheetData>
  <sheetProtection selectLockedCells="0" selectUnlockedCells="0" sheet="1" objects="0" insertRows="1" insertHyperlinks="1" autoFilter="1" scenarios="0" formatColumns="0" deleteColumns="1" insertColumns="1" pivotTables="1" deleteRows="1" formatCells="1" formatRows="0" sort="1"/>
  <mergeCells count="3">
    <mergeCell ref="A1:D1"/>
    <mergeCell ref="A3:D3"/>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D31"/>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230" min="1" max="1"/>
    <col width="8" customWidth="1" style="230" min="2" max="2"/>
    <col width="22" customWidth="1" style="230" min="3" max="4"/>
  </cols>
  <sheetData>
    <row r="1" ht="15" customHeight="1" s="231">
      <c r="A1" s="272">
        <f>Settings!B8</f>
        <v/>
      </c>
    </row>
    <row r="2" ht="15" customHeight="1" s="231">
      <c r="A2" s="275" t="inlineStr">
        <is>
          <t>Statement of Financial Position</t>
        </is>
      </c>
    </row>
    <row r="3" ht="15" customHeight="1" s="231">
      <c r="A3" s="433">
        <f>"for the period ended "&amp;Settings!B7</f>
        <v/>
      </c>
    </row>
    <row r="5" ht="15" customHeight="1" s="231">
      <c r="A5" s="274" t="n"/>
      <c r="B5" s="275" t="inlineStr">
        <is>
          <t>Note</t>
        </is>
      </c>
      <c r="C5" s="275" t="inlineStr">
        <is>
          <t>Current period (N$)</t>
        </is>
      </c>
      <c r="D5" s="275" t="inlineStr">
        <is>
          <t>Prior period (N$)</t>
        </is>
      </c>
    </row>
    <row r="6" ht="15" customHeight="1" s="231">
      <c r="A6" s="274" t="inlineStr">
        <is>
          <t>ASSETS</t>
        </is>
      </c>
      <c r="D6" s="447" t="n"/>
    </row>
    <row r="7" ht="15" customHeight="1" s="231">
      <c r="A7" s="426" t="inlineStr">
        <is>
          <t>Non-current assets</t>
        </is>
      </c>
      <c r="B7" s="448" t="n"/>
      <c r="C7" s="448" t="n"/>
      <c r="D7" s="448" t="n"/>
    </row>
    <row r="8" ht="15" customHeight="1" s="231">
      <c r="A8" s="239" t="inlineStr">
        <is>
          <t>Property, plant and equipment</t>
        </is>
      </c>
      <c r="B8" s="440" t="inlineStr">
        <is>
          <t>7</t>
        </is>
      </c>
      <c r="C8" s="349">
        <f>'Balance Sheet'!C14</f>
        <v/>
      </c>
      <c r="D8" s="349">
        <f>'Prior Year'!B8+'Prior Year'!B9</f>
        <v/>
      </c>
    </row>
    <row r="9" ht="15" customHeight="1" s="231">
      <c r="A9" s="277" t="inlineStr">
        <is>
          <t>Total non-current assets</t>
        </is>
      </c>
      <c r="B9" s="441" t="n"/>
      <c r="C9" s="442">
        <f>'Balance Sheet'!C14</f>
        <v/>
      </c>
      <c r="D9" s="442">
        <f>'Prior Year'!B8+'Prior Year'!B9</f>
        <v/>
      </c>
    </row>
    <row r="10" ht="15" customHeight="1" s="231">
      <c r="A10" s="426" t="inlineStr">
        <is>
          <t>Current assets</t>
        </is>
      </c>
      <c r="B10" s="448" t="n"/>
      <c r="C10" s="448" t="n"/>
      <c r="D10" s="448" t="n"/>
    </row>
    <row r="11" ht="15" customHeight="1" s="231">
      <c r="A11" s="239" t="inlineStr">
        <is>
          <t>Inventories</t>
        </is>
      </c>
      <c r="B11" s="440" t="inlineStr">
        <is>
          <t>8</t>
        </is>
      </c>
      <c r="C11" s="349">
        <f>'Balance Sheet'!C8</f>
        <v/>
      </c>
      <c r="D11" s="349">
        <f>'Prior Year'!B6</f>
        <v/>
      </c>
    </row>
    <row r="12" ht="15" customHeight="1" s="231">
      <c r="A12" s="239" t="inlineStr">
        <is>
          <t>Trade and other receivables</t>
        </is>
      </c>
      <c r="B12" s="440" t="inlineStr">
        <is>
          <t>9</t>
        </is>
      </c>
      <c r="C12" s="349">
        <f>'Balance Sheet'!C7+'Balance Sheet'!C9</f>
        <v/>
      </c>
      <c r="D12" s="349">
        <f>'Prior Year'!B5+'Prior Year'!B7</f>
        <v/>
      </c>
    </row>
    <row r="13" ht="15" customHeight="1" s="231">
      <c r="A13" s="239" t="inlineStr">
        <is>
          <t>Cash and cash equivalents</t>
        </is>
      </c>
      <c r="B13" s="440" t="inlineStr">
        <is>
          <t>10</t>
        </is>
      </c>
      <c r="C13" s="349">
        <f>'Balance Sheet'!C6</f>
        <v/>
      </c>
      <c r="D13" s="349">
        <f>'Prior Year'!B4</f>
        <v/>
      </c>
    </row>
    <row r="14" ht="15" customHeight="1" s="231">
      <c r="A14" s="277" t="inlineStr">
        <is>
          <t>Total current assets</t>
        </is>
      </c>
      <c r="B14" s="441" t="n"/>
      <c r="C14" s="442">
        <f>'Balance Sheet'!C10</f>
        <v/>
      </c>
      <c r="D14" s="442">
        <f>'Prior Year'!B4+'Prior Year'!B5+'Prior Year'!B6+'Prior Year'!B7</f>
        <v/>
      </c>
    </row>
    <row r="15" ht="15" customHeight="1" s="231">
      <c r="A15" s="280" t="inlineStr">
        <is>
          <t>TOTAL ASSETS</t>
        </is>
      </c>
      <c r="B15" s="446" t="n"/>
      <c r="C15" s="281">
        <f>'Balance Sheet'!C15</f>
        <v/>
      </c>
      <c r="D15" s="281">
        <f>'Prior Year'!B17</f>
        <v/>
      </c>
    </row>
    <row r="16" ht="15" customHeight="1" s="231">
      <c r="A16" s="274" t="inlineStr">
        <is>
          <t>EQUITY AND LIABILITIES</t>
        </is>
      </c>
      <c r="D16" s="447" t="n"/>
    </row>
    <row r="17" ht="15" customHeight="1" s="231">
      <c r="A17" s="426" t="inlineStr">
        <is>
          <t>Equity</t>
        </is>
      </c>
      <c r="B17" s="448" t="n"/>
      <c r="C17" s="448" t="n"/>
      <c r="D17" s="448" t="n"/>
    </row>
    <row r="18" ht="15" customHeight="1" s="231">
      <c r="A18" s="239" t="inlineStr">
        <is>
          <t>Share capital</t>
        </is>
      </c>
      <c r="B18" s="440" t="inlineStr">
        <is>
          <t>11</t>
        </is>
      </c>
      <c r="C18" s="349">
        <f>'Balance Sheet'!C30</f>
        <v/>
      </c>
      <c r="D18" s="349">
        <f>'Prior Year'!B15</f>
        <v/>
      </c>
    </row>
    <row r="19" ht="15" customHeight="1" s="231">
      <c r="A19" s="239" t="inlineStr">
        <is>
          <t>Retained earnings</t>
        </is>
      </c>
      <c r="B19" s="440" t="n"/>
      <c r="C19" s="349">
        <f>'Balance Sheet'!C31+'Balance Sheet'!C32+'Balance Sheet'!C33</f>
        <v/>
      </c>
      <c r="D19" s="349">
        <f>'Prior Year'!B16</f>
        <v/>
      </c>
    </row>
    <row r="20" ht="15" customHeight="1" s="231">
      <c r="A20" s="277" t="inlineStr">
        <is>
          <t>Total equity</t>
        </is>
      </c>
      <c r="B20" s="441" t="n"/>
      <c r="C20" s="442">
        <f>'Balance Sheet'!C34</f>
        <v/>
      </c>
      <c r="D20" s="442">
        <f>'Prior Year'!B19</f>
        <v/>
      </c>
    </row>
    <row r="21" ht="15" customHeight="1" s="231">
      <c r="A21" s="426" t="inlineStr">
        <is>
          <t>Non-current liabilities</t>
        </is>
      </c>
      <c r="B21" s="448" t="n"/>
      <c r="C21" s="448" t="n"/>
      <c r="D21" s="448" t="n"/>
    </row>
    <row r="22" ht="15" customHeight="1" s="231">
      <c r="A22" s="239" t="inlineStr">
        <is>
          <t>Loans and borrowings</t>
        </is>
      </c>
      <c r="B22" s="440" t="inlineStr">
        <is>
          <t>12</t>
        </is>
      </c>
      <c r="C22" s="349">
        <f>'Balance Sheet'!C26</f>
        <v/>
      </c>
      <c r="D22" s="349">
        <f>'Prior Year'!B14</f>
        <v/>
      </c>
    </row>
    <row r="23" ht="15" customHeight="1" s="231">
      <c r="A23" s="277" t="inlineStr">
        <is>
          <t>Total non-current liabilities</t>
        </is>
      </c>
      <c r="B23" s="441" t="n"/>
      <c r="C23" s="442">
        <f>'Balance Sheet'!C26</f>
        <v/>
      </c>
      <c r="D23" s="442">
        <f>'Prior Year'!B14</f>
        <v/>
      </c>
    </row>
    <row r="24" ht="15" customHeight="1" s="231">
      <c r="A24" s="426" t="inlineStr">
        <is>
          <t>Current liabilities</t>
        </is>
      </c>
      <c r="B24" s="448" t="n"/>
      <c r="C24" s="448" t="n"/>
      <c r="D24" s="448" t="n"/>
    </row>
    <row r="25" ht="15" customHeight="1" s="231">
      <c r="A25" s="239" t="inlineStr">
        <is>
          <t>Trade and other payables</t>
        </is>
      </c>
      <c r="B25" s="440" t="inlineStr">
        <is>
          <t>13</t>
        </is>
      </c>
      <c r="C25" s="349">
        <f>'Balance Sheet'!C19+'Balance Sheet'!C20+'Balance Sheet'!C22</f>
        <v/>
      </c>
      <c r="D25" s="349">
        <f>'Prior Year'!B10+'Prior Year'!B11+'Prior Year'!B13</f>
        <v/>
      </c>
    </row>
    <row r="26" ht="15" customHeight="1" s="231">
      <c r="A26" s="239" t="inlineStr">
        <is>
          <t>Current tax payable</t>
        </is>
      </c>
      <c r="B26" s="440" t="inlineStr">
        <is>
          <t>14</t>
        </is>
      </c>
      <c r="C26" s="349">
        <f>'Balance Sheet'!C21</f>
        <v/>
      </c>
      <c r="D26" s="349">
        <f>'Prior Year'!B12</f>
        <v/>
      </c>
    </row>
    <row r="27" ht="15" customHeight="1" s="231">
      <c r="A27" s="277" t="inlineStr">
        <is>
          <t>Total current liabilities</t>
        </is>
      </c>
      <c r="B27" s="441" t="n"/>
      <c r="C27" s="442">
        <f>'Balance Sheet'!C23</f>
        <v/>
      </c>
      <c r="D27" s="442">
        <f>'Prior Year'!B10+'Prior Year'!B11+'Prior Year'!B12+'Prior Year'!B13</f>
        <v/>
      </c>
    </row>
    <row r="28" ht="15" customHeight="1" s="231">
      <c r="A28" s="277" t="inlineStr">
        <is>
          <t>Total liabilities</t>
        </is>
      </c>
      <c r="B28" s="441" t="n"/>
      <c r="C28" s="442">
        <f>'Balance Sheet'!C27</f>
        <v/>
      </c>
      <c r="D28" s="442">
        <f>'Prior Year'!B18</f>
        <v/>
      </c>
    </row>
    <row r="29" ht="15" customHeight="1" s="231">
      <c r="A29" s="280" t="inlineStr">
        <is>
          <t>TOTAL EQUITY AND LIABILITIES</t>
        </is>
      </c>
      <c r="B29" s="446" t="n"/>
      <c r="C29" s="281">
        <f>'Balance Sheet'!C35</f>
        <v/>
      </c>
      <c r="D29" s="281">
        <f>'Prior Year'!B18+'Prior Year'!B19</f>
        <v/>
      </c>
    </row>
    <row r="30" ht="15" customHeight="1" s="231">
      <c r="A30" s="449" t="inlineStr">
        <is>
          <t>Balance check (Assets − Equity − Liabilities, must be 0):</t>
        </is>
      </c>
      <c r="C30" s="450">
        <f>'Balance Sheet'!C15-'Balance Sheet'!C35</f>
        <v/>
      </c>
    </row>
    <row r="31" ht="15" customHeight="1" s="231">
      <c r="A31" s="244" t="inlineStr">
        <is>
          <t>Prior-period column populates from the Prior Year sheet.</t>
        </is>
      </c>
    </row>
  </sheetData>
  <sheetProtection selectLockedCells="0" selectUnlockedCells="0" sheet="1" objects="0" insertRows="1" insertHyperlinks="1" autoFilter="1" scenarios="0" formatColumns="0" deleteColumns="1" insertColumns="1" pivotTables="1" deleteRows="1" formatCells="1" formatRows="0" sort="1"/>
  <mergeCells count="5">
    <mergeCell ref="A1:D1"/>
    <mergeCell ref="A3:D3"/>
    <mergeCell ref="A6:C6"/>
    <mergeCell ref="A2:D2"/>
    <mergeCell ref="A16:C16"/>
  </mergeCells>
  <conditionalFormatting sqref="C30">
    <cfRule type="cellIs" rank="0" priority="2" equalAverage="0" operator="equal" aboveAverage="0" dxfId="0" text="" percent="0" bottom="0">
      <formula>0</formula>
    </cfRule>
    <cfRule type="cellIs" rank="0" priority="3" equalAverage="0" operator="notEqual" aboveAverage="0" dxfId="1"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D12"/>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230" min="1" max="1"/>
    <col width="20" customWidth="1" style="230" min="2" max="4"/>
  </cols>
  <sheetData>
    <row r="1" ht="15" customHeight="1" s="231">
      <c r="A1" s="272">
        <f>Settings!B8</f>
        <v/>
      </c>
    </row>
    <row r="2" ht="15" customHeight="1" s="231">
      <c r="A2" s="275" t="inlineStr">
        <is>
          <t>Statement of Changes in Equity</t>
        </is>
      </c>
    </row>
    <row r="3" ht="15" customHeight="1" s="231">
      <c r="A3" s="433">
        <f>"for the period ended "&amp;Settings!B7</f>
        <v/>
      </c>
    </row>
    <row r="5" ht="15" customHeight="1" s="231">
      <c r="A5" s="274" t="n"/>
      <c r="B5" s="275" t="inlineStr">
        <is>
          <t>Share capital (N$)</t>
        </is>
      </c>
      <c r="C5" s="275" t="inlineStr">
        <is>
          <t>Retained earnings (N$)</t>
        </is>
      </c>
      <c r="D5" s="275" t="inlineStr">
        <is>
          <t>Total equity (N$)</t>
        </is>
      </c>
    </row>
    <row r="6" ht="15" customHeight="1" s="231">
      <c r="A6" s="277" t="inlineStr">
        <is>
          <t>Balance at beginning of the period</t>
        </is>
      </c>
      <c r="B6" s="442">
        <f>'Prior Year'!B15</f>
        <v/>
      </c>
      <c r="C6" s="442">
        <f>'Prior Year'!B16</f>
        <v/>
      </c>
      <c r="D6" s="442">
        <f>B6+C6</f>
        <v/>
      </c>
    </row>
    <row r="7" ht="15" customHeight="1" s="231">
      <c r="A7" s="239" t="inlineStr">
        <is>
          <t>Profit for the period</t>
        </is>
      </c>
      <c r="B7" s="340" t="n">
        <v>0</v>
      </c>
      <c r="C7" s="349">
        <f>'Income Statement'!C31</f>
        <v/>
      </c>
      <c r="D7" s="340">
        <f>B7+C7</f>
        <v/>
      </c>
    </row>
    <row r="8" ht="15" customHeight="1" s="231">
      <c r="A8" s="239" t="inlineStr">
        <is>
          <t>Dividends declared</t>
        </is>
      </c>
      <c r="B8" s="340" t="n">
        <v>0</v>
      </c>
      <c r="C8" s="349">
        <f>-'Income Statement'!C30</f>
        <v/>
      </c>
      <c r="D8" s="340">
        <f>B8+C8</f>
        <v/>
      </c>
    </row>
    <row r="9" ht="15" customHeight="1" s="231">
      <c r="A9" s="239" t="inlineStr">
        <is>
          <t>Shares issued during the period</t>
        </is>
      </c>
      <c r="B9" s="349">
        <f>'Cash Flow'!C25</f>
        <v/>
      </c>
      <c r="C9" s="340" t="n">
        <v>0</v>
      </c>
      <c r="D9" s="340">
        <f>B9+C9</f>
        <v/>
      </c>
    </row>
    <row r="10" ht="15" customHeight="1" s="231">
      <c r="A10" s="280" t="inlineStr">
        <is>
          <t>Balance at end of the period</t>
        </is>
      </c>
      <c r="B10" s="281">
        <f>SUM(B6:B9)</f>
        <v/>
      </c>
      <c r="C10" s="281">
        <f>SUM(C6:C9)</f>
        <v/>
      </c>
      <c r="D10" s="281">
        <f>SUM(D6:D9)</f>
        <v/>
      </c>
    </row>
    <row r="12" ht="15" customHeight="1" s="231">
      <c r="A12" s="449" t="inlineStr">
        <is>
          <t>Cross-check: closing total equity vs Balance Sheet:</t>
        </is>
      </c>
      <c r="D12" s="450">
        <f>D10-'Balance Sheet'!C34</f>
        <v/>
      </c>
    </row>
  </sheetData>
  <sheetProtection selectLockedCells="0" selectUnlockedCells="0" sheet="1" objects="0" insertRows="1" insertHyperlinks="1" autoFilter="1" scenarios="0" formatColumns="0" deleteColumns="1" insertColumns="1" pivotTables="1" deleteRows="1" formatCells="1" formatRows="0" sort="1"/>
  <mergeCells count="4">
    <mergeCell ref="A12:C12"/>
    <mergeCell ref="A1:D1"/>
    <mergeCell ref="A3:D3"/>
    <mergeCell ref="A2:D2"/>
  </mergeCells>
  <conditionalFormatting sqref="D12">
    <cfRule type="cellIs" rank="0" priority="2" equalAverage="0" operator="equal" aboveAverage="0" dxfId="0" text="" percent="0" bottom="0">
      <formula>0</formula>
    </cfRule>
    <cfRule type="cellIs" rank="0" priority="3" equalAverage="0" operator="notEqual" aboveAverage="0" dxfId="1"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C26"/>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0" customWidth="1" style="230" min="1" max="1"/>
    <col width="8" customWidth="1" style="230" min="2" max="2"/>
    <col width="22" customWidth="1" style="230" min="3" max="3"/>
  </cols>
  <sheetData>
    <row r="1" ht="15" customHeight="1" s="231">
      <c r="A1" s="272">
        <f>Settings!B8</f>
        <v/>
      </c>
    </row>
    <row r="2" ht="15" customHeight="1" s="231">
      <c r="A2" s="275" t="inlineStr">
        <is>
          <t>Statement of Cash Flows</t>
        </is>
      </c>
    </row>
    <row r="3" ht="15" customHeight="1" s="231">
      <c r="A3" s="433">
        <f>"for the period ended "&amp;Settings!B7</f>
        <v/>
      </c>
    </row>
    <row r="5" ht="15" customHeight="1" s="231">
      <c r="A5" s="274" t="n"/>
      <c r="B5" s="275" t="inlineStr">
        <is>
          <t>Note</t>
        </is>
      </c>
      <c r="C5" s="275" t="inlineStr">
        <is>
          <t>N$</t>
        </is>
      </c>
    </row>
    <row r="6" ht="15" customHeight="1" s="231">
      <c r="A6" s="274" t="inlineStr">
        <is>
          <t>CASH FLOWS FROM OPERATING ACTIVITIES</t>
        </is>
      </c>
    </row>
    <row r="7" ht="15" customHeight="1" s="231">
      <c r="A7" s="239" t="inlineStr">
        <is>
          <t>Profit for the period</t>
        </is>
      </c>
      <c r="B7" s="440" t="n"/>
      <c r="C7" s="349">
        <f>'Cash Flow'!C4</f>
        <v/>
      </c>
    </row>
    <row r="8" ht="15" customHeight="1" s="231">
      <c r="A8" s="239" t="inlineStr">
        <is>
          <t>Adjustment for depreciation</t>
        </is>
      </c>
      <c r="B8" s="440" t="inlineStr">
        <is>
          <t>7</t>
        </is>
      </c>
      <c r="C8" s="349">
        <f>'Cash Flow'!C6</f>
        <v/>
      </c>
    </row>
    <row r="9" ht="15" customHeight="1" s="231">
      <c r="A9" s="239" t="inlineStr">
        <is>
          <t>Adjustment for amortisation</t>
        </is>
      </c>
      <c r="B9" s="440" t="n"/>
      <c r="C9" s="349">
        <f>'Cash Flow'!C7</f>
        <v/>
      </c>
    </row>
    <row r="10" ht="15" customHeight="1" s="231">
      <c r="A10" s="239" t="inlineStr">
        <is>
          <t>Working capital movements (incl. tax payable)</t>
        </is>
      </c>
      <c r="B10" s="440" t="n"/>
      <c r="C10" s="349">
        <f>SUM('Cash Flow'!C9:C15)</f>
        <v/>
      </c>
    </row>
    <row r="11" ht="15" customHeight="1" s="231">
      <c r="A11" s="277" t="inlineStr">
        <is>
          <t>Net cash from operating activities</t>
        </is>
      </c>
      <c r="B11" s="441" t="n"/>
      <c r="C11" s="442">
        <f>'Cash Flow'!C16</f>
        <v/>
      </c>
    </row>
    <row r="12" ht="15" customHeight="1" s="231">
      <c r="A12" s="274" t="inlineStr">
        <is>
          <t>CASH FLOWS FROM INVESTING ACTIVITIES</t>
        </is>
      </c>
    </row>
    <row r="13" ht="15" customHeight="1" s="231">
      <c r="A13" s="239" t="inlineStr">
        <is>
          <t>Purchase of property, plant and equipment</t>
        </is>
      </c>
      <c r="B13" s="440" t="n"/>
      <c r="C13" s="349">
        <f>'Cash Flow'!C19</f>
        <v/>
      </c>
    </row>
    <row r="14" ht="15" customHeight="1" s="231">
      <c r="A14" s="239" t="inlineStr">
        <is>
          <t>Proceeds from disposal of assets</t>
        </is>
      </c>
      <c r="B14" s="440" t="n"/>
      <c r="C14" s="349">
        <f>'Cash Flow'!C20</f>
        <v/>
      </c>
    </row>
    <row r="15" ht="15" customHeight="1" s="231">
      <c r="A15" s="239" t="inlineStr">
        <is>
          <t>Purchase of investments</t>
        </is>
      </c>
      <c r="B15" s="440" t="n"/>
      <c r="C15" s="349">
        <f>'Cash Flow'!C21</f>
        <v/>
      </c>
    </row>
    <row r="16" ht="15" customHeight="1" s="231">
      <c r="A16" s="277" t="inlineStr">
        <is>
          <t>Net cash from investing activities</t>
        </is>
      </c>
      <c r="B16" s="441" t="n"/>
      <c r="C16" s="442">
        <f>'Cash Flow'!C22</f>
        <v/>
      </c>
    </row>
    <row r="17" ht="15" customHeight="1" s="231">
      <c r="A17" s="274" t="inlineStr">
        <is>
          <t>CASH FLOWS FROM FINANCING ACTIVITIES</t>
        </is>
      </c>
    </row>
    <row r="18" ht="15" customHeight="1" s="231">
      <c r="A18" s="239" t="inlineStr">
        <is>
          <t>Proceeds from share capital issuance</t>
        </is>
      </c>
      <c r="B18" s="440" t="inlineStr">
        <is>
          <t>11</t>
        </is>
      </c>
      <c r="C18" s="349">
        <f>'Cash Flow'!C25</f>
        <v/>
      </c>
    </row>
    <row r="19" ht="15" customHeight="1" s="231">
      <c r="A19" s="239" t="inlineStr">
        <is>
          <t>Repayment of loans</t>
        </is>
      </c>
      <c r="B19" s="440" t="inlineStr">
        <is>
          <t>12</t>
        </is>
      </c>
      <c r="C19" s="349">
        <f>'Cash Flow'!C26</f>
        <v/>
      </c>
    </row>
    <row r="20" ht="15" customHeight="1" s="231">
      <c r="A20" s="239" t="inlineStr">
        <is>
          <t>Dividends paid</t>
        </is>
      </c>
      <c r="B20" s="440" t="n"/>
      <c r="C20" s="349">
        <f>'Cash Flow'!C27</f>
        <v/>
      </c>
    </row>
    <row r="21" ht="15" customHeight="1" s="231">
      <c r="A21" s="239" t="inlineStr">
        <is>
          <t>Proceeds from new borrowings</t>
        </is>
      </c>
      <c r="B21" s="440" t="inlineStr">
        <is>
          <t>12</t>
        </is>
      </c>
      <c r="C21" s="349">
        <f>'Cash Flow'!C28</f>
        <v/>
      </c>
    </row>
    <row r="22" ht="15" customHeight="1" s="231">
      <c r="A22" s="277" t="inlineStr">
        <is>
          <t>Net cash from financing activities</t>
        </is>
      </c>
      <c r="B22" s="441" t="n"/>
      <c r="C22" s="442">
        <f>'Cash Flow'!C29</f>
        <v/>
      </c>
    </row>
    <row r="23" ht="15" customHeight="1" s="231">
      <c r="A23" s="277" t="inlineStr">
        <is>
          <t>Net increase / (decrease) in cash</t>
        </is>
      </c>
      <c r="B23" s="441" t="n"/>
      <c r="C23" s="442">
        <f>'Cash Flow'!C33</f>
        <v/>
      </c>
    </row>
    <row r="24" ht="15" customHeight="1" s="231">
      <c r="A24" s="239" t="inlineStr">
        <is>
          <t>Cash and cash equivalents at beginning of period</t>
        </is>
      </c>
      <c r="B24" s="440" t="n"/>
      <c r="C24" s="349">
        <f>'Cash Flow'!C32</f>
        <v/>
      </c>
    </row>
    <row r="25" ht="15" customHeight="1" s="231">
      <c r="A25" s="280" t="inlineStr">
        <is>
          <t>Cash and cash equivalents at end of period</t>
        </is>
      </c>
      <c r="B25" s="446" t="inlineStr">
        <is>
          <t>10</t>
        </is>
      </c>
      <c r="C25" s="281">
        <f>'Cash Flow'!C34</f>
        <v/>
      </c>
    </row>
    <row r="26" ht="15" customHeight="1" s="231">
      <c r="A26" s="449" t="inlineStr">
        <is>
          <t>Cross-check vs cash in Statement of Financial Position:</t>
        </is>
      </c>
      <c r="C26" s="450">
        <f>'Cash Flow'!C34-'Balance Sheet'!C6</f>
        <v/>
      </c>
    </row>
  </sheetData>
  <sheetProtection selectLockedCells="0" selectUnlockedCells="0" sheet="1" objects="0" insertRows="1" insertHyperlinks="1" autoFilter="1" scenarios="0" formatColumns="0" deleteColumns="1" insertColumns="1" pivotTables="1" deleteRows="1" formatCells="1" formatRows="0" sort="1"/>
  <mergeCells count="7">
    <mergeCell ref="A26:B26"/>
    <mergeCell ref="A1:C1"/>
    <mergeCell ref="A6:C6"/>
    <mergeCell ref="A17:C17"/>
    <mergeCell ref="A3:C3"/>
    <mergeCell ref="A12:C12"/>
    <mergeCell ref="A2:C2"/>
  </mergeCells>
  <conditionalFormatting sqref="C26">
    <cfRule type="cellIs" rank="0" priority="2" equalAverage="0" operator="equal" aboveAverage="0" dxfId="0" text="" percent="0" bottom="0">
      <formula>0</formula>
    </cfRule>
    <cfRule type="cellIs" rank="0" priority="3" equalAverage="0" operator="notEqual" aboveAverage="0" dxfId="1"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D80"/>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30" min="1" max="1"/>
    <col width="46" customWidth="1" style="230" min="2" max="2"/>
    <col width="20" customWidth="1" style="230" min="3" max="4"/>
  </cols>
  <sheetData>
    <row r="1" ht="15" customHeight="1" s="231">
      <c r="A1" s="272">
        <f>Settings!B8</f>
        <v/>
      </c>
    </row>
    <row r="2" ht="15" customHeight="1" s="231">
      <c r="A2" s="275" t="inlineStr">
        <is>
          <t>Notes to the Annual Financial Statements</t>
        </is>
      </c>
    </row>
    <row r="3" ht="15" customHeight="1" s="231">
      <c r="A3" s="433">
        <f>"for the period ended "&amp;Settings!B7</f>
        <v/>
      </c>
    </row>
    <row r="5" ht="15" customHeight="1" s="231">
      <c r="A5" s="277" t="inlineStr">
        <is>
          <t>1.  General information</t>
        </is>
      </c>
    </row>
    <row r="6" ht="57.75" customHeight="1" s="231">
      <c r="A6" s="451" t="inlineStr">
        <is>
          <t>The entity is a company incorporated and domiciled in Namibia. These financial statements present the results of operations and the financial position for the reporting period indicated above. The functional and presentation currency is the Namibian Dollar (N$). The company is registered for tax with the Namibia Revenue Agency (NamRA).</t>
        </is>
      </c>
    </row>
    <row r="8" ht="15" customHeight="1" s="231">
      <c r="A8" s="277" t="inlineStr">
        <is>
          <t>2.  Basis of preparation and significant accounting policies</t>
        </is>
      </c>
    </row>
    <row r="9" ht="43.5" customHeight="1" s="231">
      <c r="A9" s="451" t="inlineStr">
        <is>
          <t>Basis of preparation: The financial statements are prepared on the historical-cost basis, under the accrual concept and on the assumption that the company is a going concern.</t>
        </is>
      </c>
    </row>
    <row r="10" ht="43.5" customHeight="1" s="231">
      <c r="A10" s="451" t="inlineStr">
        <is>
          <t>Revenue: Revenue is measured at the fair value of consideration received or receivable, net of value added tax (VAT), and is recognised when the related goods or services are delivered.</t>
        </is>
      </c>
    </row>
    <row r="11" ht="43.5" customHeight="1" s="231">
      <c r="A11" s="451" t="inlineStr">
        <is>
          <t>Property, plant and equipment: Stated at cost less accumulated depreciation. For tax purposes, wear-and-tear (capital) allowances are claimed per the NamRA schedule (computers 33.33%, vehicles 20%, plant 10%, industrial buildings 4%).</t>
        </is>
      </c>
    </row>
    <row r="12" ht="43.5" customHeight="1" s="231">
      <c r="A12" s="451" t="inlineStr">
        <is>
          <t>Taxation: Income tax is provided at the corporate rate on taxable income, computed by adjusting accounting profit for non-deductible items and capital allowances. Provisional tax is paid in two instalments (P1 40% in August; P2 balance in February).</t>
        </is>
      </c>
    </row>
    <row r="13" ht="31.5" customHeight="1" s="231">
      <c r="A13" s="451" t="inlineStr">
        <is>
          <t>Value added tax (VAT): Recognised at the standard rate. Output VAT on sales less input VAT on purchases is payable to NamRA.</t>
        </is>
      </c>
    </row>
    <row r="15" ht="15" customHeight="1" s="231">
      <c r="A15" s="277" t="inlineStr">
        <is>
          <t>3.  Revenue</t>
        </is>
      </c>
    </row>
    <row r="16" ht="15" customHeight="1" s="231">
      <c r="B16" s="436" t="inlineStr">
        <is>
          <t>Sales revenue</t>
        </is>
      </c>
      <c r="C16" s="349">
        <f>'Income Statement'!C4</f>
        <v/>
      </c>
    </row>
    <row r="17" ht="15" customHeight="1" s="231">
      <c r="B17" s="436" t="inlineStr">
        <is>
          <t>Service revenue</t>
        </is>
      </c>
      <c r="C17" s="349">
        <f>'Income Statement'!C5</f>
        <v/>
      </c>
    </row>
    <row r="18" ht="15" customHeight="1" s="231">
      <c r="B18" s="436" t="inlineStr">
        <is>
          <t>Other income</t>
        </is>
      </c>
      <c r="C18" s="349">
        <f>'Income Statement'!C6</f>
        <v/>
      </c>
    </row>
    <row r="19" ht="15" customHeight="1" s="231">
      <c r="B19" s="452" t="inlineStr">
        <is>
          <t>Total revenue</t>
        </is>
      </c>
      <c r="C19" s="450">
        <f>'Income Statement'!C7</f>
        <v/>
      </c>
    </row>
    <row r="21" ht="15" customHeight="1" s="231">
      <c r="A21" s="277" t="inlineStr">
        <is>
          <t>4.  Operating profit / other operating expenses</t>
        </is>
      </c>
    </row>
    <row r="22" ht="15" customHeight="1" s="231">
      <c r="B22" s="436" t="inlineStr">
        <is>
          <t>Salaries &amp; wages</t>
        </is>
      </c>
      <c r="C22" s="349">
        <f>'Income Statement'!C14</f>
        <v/>
      </c>
    </row>
    <row r="23" ht="15" customHeight="1" s="231">
      <c r="B23" s="436" t="inlineStr">
        <is>
          <t>Rent expense</t>
        </is>
      </c>
      <c r="C23" s="349">
        <f>'Income Statement'!C15</f>
        <v/>
      </c>
    </row>
    <row r="24" ht="15" customHeight="1" s="231">
      <c r="B24" s="436" t="inlineStr">
        <is>
          <t>Utilities</t>
        </is>
      </c>
      <c r="C24" s="349">
        <f>'Income Statement'!C16</f>
        <v/>
      </c>
    </row>
    <row r="25" ht="15" customHeight="1" s="231">
      <c r="B25" s="436" t="inlineStr">
        <is>
          <t>Marketing &amp; advertising</t>
        </is>
      </c>
      <c r="C25" s="349">
        <f>'Income Statement'!C17</f>
        <v/>
      </c>
    </row>
    <row r="26" ht="15" customHeight="1" s="231">
      <c r="B26" s="436" t="inlineStr">
        <is>
          <t>Depreciation</t>
        </is>
      </c>
      <c r="C26" s="349">
        <f>'Income Statement'!C18</f>
        <v/>
      </c>
    </row>
    <row r="27" ht="15" customHeight="1" s="231">
      <c r="B27" s="436" t="inlineStr">
        <is>
          <t>Travel &amp; entertainment</t>
        </is>
      </c>
      <c r="C27" s="349">
        <f>'Income Statement'!C19</f>
        <v/>
      </c>
    </row>
    <row r="28" ht="15" customHeight="1" s="231">
      <c r="B28" s="436" t="inlineStr">
        <is>
          <t>Professional fees</t>
        </is>
      </c>
      <c r="C28" s="349">
        <f>'Income Statement'!C20</f>
        <v/>
      </c>
    </row>
    <row r="29" ht="15" customHeight="1" s="231">
      <c r="B29" s="436" t="inlineStr">
        <is>
          <t>Bank charges</t>
        </is>
      </c>
      <c r="C29" s="349">
        <f>'Income Statement'!C21</f>
        <v/>
      </c>
    </row>
    <row r="30" ht="15" customHeight="1" s="231">
      <c r="B30" s="436" t="inlineStr">
        <is>
          <t>Fines &amp; penalties</t>
        </is>
      </c>
      <c r="C30" s="349">
        <f>'Income Statement'!C22</f>
        <v/>
      </c>
    </row>
    <row r="31" ht="15" customHeight="1" s="231">
      <c r="B31" s="436" t="inlineStr">
        <is>
          <t>Entertainment (50% non-deductible)</t>
        </is>
      </c>
      <c r="C31" s="349">
        <f>'Income Statement'!C23</f>
        <v/>
      </c>
    </row>
    <row r="32" ht="15" customHeight="1" s="231">
      <c r="B32" s="452" t="inlineStr">
        <is>
          <t>Total operating expenses</t>
        </is>
      </c>
      <c r="C32" s="450">
        <f>'Income Statement'!C24</f>
        <v/>
      </c>
    </row>
    <row r="34" ht="15" customHeight="1" s="231">
      <c r="A34" s="277" t="inlineStr">
        <is>
          <t>5.  Finance costs</t>
        </is>
      </c>
    </row>
    <row r="35" ht="15" customHeight="1" s="231">
      <c r="B35" s="436" t="inlineStr">
        <is>
          <t>Interest on loans payable</t>
        </is>
      </c>
      <c r="C35" s="349">
        <f>'Income Statement'!C27</f>
        <v/>
      </c>
      <c r="D35" s="453" t="inlineStr">
        <is>
          <t>Loans balance × interest rate (Settings)</t>
        </is>
      </c>
    </row>
    <row r="36" ht="15" customHeight="1" s="231">
      <c r="B36" s="436" t="inlineStr">
        <is>
          <t>Annual interest rate applied</t>
        </is>
      </c>
      <c r="C36" s="454">
        <f>Settings!B6</f>
        <v/>
      </c>
    </row>
    <row r="38" ht="15" customHeight="1" s="231">
      <c r="A38" s="277" t="inlineStr">
        <is>
          <t>6.  Income tax expense</t>
        </is>
      </c>
    </row>
    <row r="39" ht="15" customHeight="1" s="231">
      <c r="B39" s="436" t="inlineStr">
        <is>
          <t>Accounting profit before tax (EBT)</t>
        </is>
      </c>
      <c r="C39" s="349">
        <f>'Tax Engine'!C4</f>
        <v/>
      </c>
    </row>
    <row r="40" ht="15" customHeight="1" s="231">
      <c r="B40" s="436" t="inlineStr">
        <is>
          <t>Add: non-deductible expenses</t>
        </is>
      </c>
      <c r="C40" s="349">
        <f>'Tax Engine'!C10</f>
        <v/>
      </c>
    </row>
    <row r="41" ht="15" customHeight="1" s="231">
      <c r="B41" s="436" t="inlineStr">
        <is>
          <t>Less: capital allowances</t>
        </is>
      </c>
      <c r="C41" s="349">
        <f>-'Tax Engine'!C18</f>
        <v/>
      </c>
    </row>
    <row r="42" ht="15" customHeight="1" s="231">
      <c r="B42" s="452" t="inlineStr">
        <is>
          <t>Taxable income</t>
        </is>
      </c>
      <c r="C42" s="450">
        <f>'Tax Engine'!C25</f>
        <v/>
      </c>
    </row>
    <row r="43" ht="15" customHeight="1" s="231">
      <c r="B43" s="436" t="inlineStr">
        <is>
          <t>Corporate tax rate</t>
        </is>
      </c>
      <c r="C43" s="454">
        <f>Settings!B4</f>
        <v/>
      </c>
    </row>
    <row r="44" ht="15" customHeight="1" s="231">
      <c r="B44" s="452" t="inlineStr">
        <is>
          <t>Income tax expense</t>
        </is>
      </c>
      <c r="C44" s="450">
        <f>'Tax Engine'!C30</f>
        <v/>
      </c>
    </row>
    <row r="45" ht="15" customHeight="1" s="231">
      <c r="B45" s="436" t="inlineStr">
        <is>
          <t xml:space="preserve">   – 1st provisional payment (P1, Aug)</t>
        </is>
      </c>
      <c r="C45" s="349">
        <f>'Tax Engine'!C34</f>
        <v/>
      </c>
    </row>
    <row r="46" ht="15" customHeight="1" s="231">
      <c r="B46" s="436" t="inlineStr">
        <is>
          <t xml:space="preserve">   – 2nd provisional payment (P2, Feb)</t>
        </is>
      </c>
      <c r="C46" s="349">
        <f>'Tax Engine'!C35</f>
        <v/>
      </c>
    </row>
    <row r="48" ht="15" customHeight="1" s="231">
      <c r="A48" s="277" t="inlineStr">
        <is>
          <t>7.  Property, plant and equipment</t>
        </is>
      </c>
    </row>
    <row r="49" ht="15" customHeight="1" s="231">
      <c r="B49" s="436" t="inlineStr">
        <is>
          <t>Cost</t>
        </is>
      </c>
      <c r="C49" s="349">
        <f>'Balance Sheet'!C12</f>
        <v/>
      </c>
    </row>
    <row r="50" ht="15" customHeight="1" s="231">
      <c r="B50" s="436" t="inlineStr">
        <is>
          <t>Accumulated depreciation</t>
        </is>
      </c>
      <c r="C50" s="349">
        <f>'Balance Sheet'!C13</f>
        <v/>
      </c>
    </row>
    <row r="51" ht="15" customHeight="1" s="231">
      <c r="B51" s="452" t="inlineStr">
        <is>
          <t>Carrying amount</t>
        </is>
      </c>
      <c r="C51" s="450">
        <f>'Balance Sheet'!C14</f>
        <v/>
      </c>
    </row>
    <row r="53" ht="15" customHeight="1" s="231">
      <c r="A53" s="277" t="inlineStr">
        <is>
          <t>8.  Inventories</t>
        </is>
      </c>
    </row>
    <row r="54" ht="15" customHeight="1" s="231">
      <c r="B54" s="452" t="inlineStr">
        <is>
          <t>Inventory at period end</t>
        </is>
      </c>
      <c r="C54" s="450">
        <f>'Balance Sheet'!C8</f>
        <v/>
      </c>
    </row>
    <row r="56" ht="15" customHeight="1" s="231">
      <c r="A56" s="277" t="inlineStr">
        <is>
          <t>9.  Trade and other receivables</t>
        </is>
      </c>
    </row>
    <row r="57" ht="15" customHeight="1" s="231">
      <c r="B57" s="436" t="inlineStr">
        <is>
          <t>Accounts receivable</t>
        </is>
      </c>
      <c r="C57" s="349">
        <f>'Balance Sheet'!C7</f>
        <v/>
      </c>
    </row>
    <row r="58" ht="15" customHeight="1" s="231">
      <c r="B58" s="436" t="inlineStr">
        <is>
          <t>Prepaid expenses</t>
        </is>
      </c>
      <c r="C58" s="349">
        <f>'Balance Sheet'!C9</f>
        <v/>
      </c>
    </row>
    <row r="59" ht="15" customHeight="1" s="231">
      <c r="B59" s="452" t="inlineStr">
        <is>
          <t>Total trade and other receivables</t>
        </is>
      </c>
      <c r="C59" s="450">
        <f>'Balance Sheet'!C7+'Balance Sheet'!C9</f>
        <v/>
      </c>
    </row>
    <row r="61" ht="15" customHeight="1" s="231">
      <c r="A61" s="277" t="inlineStr">
        <is>
          <t>10.  Cash and cash equivalents</t>
        </is>
      </c>
    </row>
    <row r="62" ht="15" customHeight="1" s="231">
      <c r="B62" s="452" t="inlineStr">
        <is>
          <t>Cash and cash equivalents</t>
        </is>
      </c>
      <c r="C62" s="450">
        <f>'Balance Sheet'!C6</f>
        <v/>
      </c>
    </row>
    <row r="64" ht="15" customHeight="1" s="231">
      <c r="A64" s="277" t="inlineStr">
        <is>
          <t>11.  Share capital</t>
        </is>
      </c>
    </row>
    <row r="65" ht="15" customHeight="1" s="231">
      <c r="B65" s="452" t="inlineStr">
        <is>
          <t>Issued share capital</t>
        </is>
      </c>
      <c r="C65" s="450">
        <f>'Balance Sheet'!C30</f>
        <v/>
      </c>
    </row>
    <row r="67" ht="15" customHeight="1" s="231">
      <c r="A67" s="277" t="inlineStr">
        <is>
          <t>12.  Loans and borrowings</t>
        </is>
      </c>
    </row>
    <row r="68" ht="15" customHeight="1" s="231">
      <c r="B68" s="452" t="inlineStr">
        <is>
          <t>Loans payable (long-term)</t>
        </is>
      </c>
      <c r="C68" s="450">
        <f>'Balance Sheet'!C25</f>
        <v/>
      </c>
    </row>
    <row r="70" ht="15" customHeight="1" s="231">
      <c r="A70" s="277" t="inlineStr">
        <is>
          <t>13.  Trade and other payables</t>
        </is>
      </c>
    </row>
    <row r="71" ht="15" customHeight="1" s="231">
      <c r="B71" s="436" t="inlineStr">
        <is>
          <t>Accounts payable</t>
        </is>
      </c>
      <c r="C71" s="349">
        <f>'Balance Sheet'!C19</f>
        <v/>
      </c>
    </row>
    <row r="72" ht="15" customHeight="1" s="231">
      <c r="B72" s="436" t="inlineStr">
        <is>
          <t>VAT payable (net, to NamRA)</t>
        </is>
      </c>
      <c r="C72" s="349">
        <f>'Balance Sheet'!C20</f>
        <v/>
      </c>
    </row>
    <row r="73" ht="15" customHeight="1" s="231">
      <c r="B73" s="436" t="inlineStr">
        <is>
          <t>Accrued liabilities</t>
        </is>
      </c>
      <c r="C73" s="349">
        <f>'Balance Sheet'!C22</f>
        <v/>
      </c>
    </row>
    <row r="74" ht="15" customHeight="1" s="231">
      <c r="B74" s="452" t="inlineStr">
        <is>
          <t>Total trade and other payables</t>
        </is>
      </c>
      <c r="C74" s="450">
        <f>'Balance Sheet'!C19+'Balance Sheet'!C20+'Balance Sheet'!C22</f>
        <v/>
      </c>
    </row>
    <row r="76" ht="15" customHeight="1" s="231">
      <c r="A76" s="277" t="inlineStr">
        <is>
          <t>14.  Current tax payable and dividends</t>
        </is>
      </c>
    </row>
    <row r="77" ht="15" customHeight="1" s="231">
      <c r="B77" s="436" t="inlineStr">
        <is>
          <t>Income tax payable</t>
        </is>
      </c>
      <c r="C77" s="349">
        <f>'Balance Sheet'!C21</f>
        <v/>
      </c>
    </row>
    <row r="78" ht="15" customHeight="1" s="231">
      <c r="B78" s="436" t="inlineStr">
        <is>
          <t>Dividends declared during the period</t>
        </is>
      </c>
      <c r="C78" s="349">
        <f>'Income Statement'!C30</f>
        <v/>
      </c>
    </row>
    <row r="80" ht="15" customHeight="1" s="231">
      <c r="A80" s="244" t="inlineStr">
        <is>
          <t>All amounts in Namibian Dollars (N$). Notes populate automatically from the model; no manual entry required.</t>
        </is>
      </c>
    </row>
  </sheetData>
  <sheetProtection selectLockedCells="0" selectUnlockedCells="0" sheet="1" objects="0" insertRows="1" insertHyperlinks="1" autoFilter="1" scenarios="0" formatColumns="0" deleteColumns="1" insertColumns="1" pivotTables="1" deleteRows="1" formatCells="1" formatRows="0" sort="1"/>
  <mergeCells count="24">
    <mergeCell ref="A5:D5"/>
    <mergeCell ref="A8:D8"/>
    <mergeCell ref="A53:D53"/>
    <mergeCell ref="A38:D38"/>
    <mergeCell ref="A10:D10"/>
    <mergeCell ref="A13:D13"/>
    <mergeCell ref="A9:D9"/>
    <mergeCell ref="A67:D67"/>
    <mergeCell ref="A34:D34"/>
    <mergeCell ref="A48:D48"/>
    <mergeCell ref="A15:D15"/>
    <mergeCell ref="A64:D64"/>
    <mergeCell ref="A11:D11"/>
    <mergeCell ref="A1:D1"/>
    <mergeCell ref="A70:D70"/>
    <mergeCell ref="A61:D61"/>
    <mergeCell ref="A6:D6"/>
    <mergeCell ref="A80:D80"/>
    <mergeCell ref="A56:D56"/>
    <mergeCell ref="A12:D12"/>
    <mergeCell ref="A3:D3"/>
    <mergeCell ref="A21:D21"/>
    <mergeCell ref="A2:D2"/>
    <mergeCell ref="A76:D7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Namibia Financial Model</dc:creator>
  <dc:language xmlns:dc="http://purl.org/dc/elements/1.1/">en-US</dc:language>
  <dcterms:created xmlns:dcterms="http://purl.org/dc/terms/" xmlns:xsi="http://www.w3.org/2001/XMLSchema-instance" xsi:type="dcterms:W3CDTF">2026-05-14T09:49:52Z</dcterms:created>
  <dcterms:modified xmlns:dcterms="http://purl.org/dc/terms/" xmlns:xsi="http://www.w3.org/2001/XMLSchema-instance" xsi:type="dcterms:W3CDTF">2026-06-28T13:33:51Z</dcterms:modified>
  <cp:lastModifiedBy>Namibia Financial Model</cp:lastModifiedBy>
  <cp:revision>15</cp:revision>
</cp:coreProperties>
</file>